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er-order P&amp;L" sheetId="2" state="visible" r:id="rId4"/>
    <sheet name="Store daily P&amp;L" sheetId="3" state="visible" r:id="rId5"/>
    <sheet name="Break-even" sheetId="4" state="visible" r:id="rId6"/>
    <sheet name="Sensitivity" sheetId="5" state="visible" r:id="rId7"/>
    <sheet name="Lever rank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<sst xmlns="http://schemas.openxmlformats.org/spreadsheetml/2006/main" count="426" uniqueCount="264">
  <si>
    <t xml:space="preserve">Assumptions: synthetic quick-commerce dark store, calibrated to Swiggy Instamart Q2 FY27 (quarter ended 30-Sep-2026)</t>
  </si>
  <si>
    <t xml:space="preserve">The store is synthetic. Totals are anchored to the company letters; the split of those totals across cost lines is NOT disclosed and is a labelled synthetic allocation. Results are modeled scenarios, not company measurements.</t>
  </si>
  <si>
    <t xml:space="preserve">Legend:</t>
  </si>
  <si>
    <t xml:space="preserve">Blue = typed input</t>
  </si>
  <si>
    <t xml:space="preserve">Black = formula</t>
  </si>
  <si>
    <t xml:space="preserve">Green = link to another sheet</t>
  </si>
  <si>
    <t xml:space="preserve">Yellow fill = scenario lever (edit these)</t>
  </si>
  <si>
    <t xml:space="preserve">All numbers in the two P&amp;L sheets are formulas that point to this sheet. To test a scenario change only the yellow cells in section 4.</t>
  </si>
  <si>
    <t xml:space="preserve">ID (in assumptions.csv)</t>
  </si>
  <si>
    <t xml:space="preserve">Item</t>
  </si>
  <si>
    <t xml:space="preserve">Value</t>
  </si>
  <si>
    <t xml:space="preserve">Unit</t>
  </si>
  <si>
    <t xml:space="preserve">Type</t>
  </si>
  <si>
    <t xml:space="preserve">Source / how derived</t>
  </si>
  <si>
    <t xml:space="preserve">Page</t>
  </si>
  <si>
    <t xml:space="preserve">Source URL</t>
  </si>
  <si>
    <t xml:space="preserve">1. Reported anchors (company letters; each ID matches data/assumptions.csv)</t>
  </si>
  <si>
    <t xml:space="preserve">I01</t>
  </si>
  <si>
    <t xml:space="preserve">Net order value per order (nAOV), Swiggy Instamart</t>
  </si>
  <si>
    <t xml:space="preserve">INR/order</t>
  </si>
  <si>
    <t xml:space="preserve">Reported</t>
  </si>
  <si>
    <t xml:space="preserve">Swiggy Q2 FY27 Shareholders' Letter, 22-Oct-2026</t>
  </si>
  <si>
    <t xml:space="preserve">4</t>
  </si>
  <si>
    <t xml:space="preserve">https://www.swiggy.com/corporate/wp-content/uploads/2026/10/Covering-Letter_Letter-to-Shareholders-Signed.pdf</t>
  </si>
  <si>
    <t xml:space="preserve">I11</t>
  </si>
  <si>
    <t xml:space="preserve">Orders per dark store per day</t>
  </si>
  <si>
    <t xml:space="preserve">orders/store/day</t>
  </si>
  <si>
    <t xml:space="preserve">7</t>
  </si>
  <si>
    <t xml:space="preserve">I02</t>
  </si>
  <si>
    <t xml:space="preserve">Orders in quarter</t>
  </si>
  <si>
    <t xml:space="preserve">million</t>
  </si>
  <si>
    <t xml:space="preserve">I03</t>
  </si>
  <si>
    <t xml:space="preserve">Gross order value (GOV) in quarter</t>
  </si>
  <si>
    <t xml:space="preserve">INR crore</t>
  </si>
  <si>
    <t xml:space="preserve">4, 7</t>
  </si>
  <si>
    <t xml:space="preserve">I17</t>
  </si>
  <si>
    <t xml:space="preserve">Quick-commerce Adjusted Revenue in quarter</t>
  </si>
  <si>
    <t xml:space="preserve">I07</t>
  </si>
  <si>
    <t xml:space="preserve">Contribution margin</t>
  </si>
  <si>
    <t xml:space="preserve">% of GOV</t>
  </si>
  <si>
    <t xml:space="preserve">I13</t>
  </si>
  <si>
    <t xml:space="preserve">Break-even benchmark: contribution per order needed for adjusted EBITDA break-even</t>
  </si>
  <si>
    <t xml:space="preserve">Reported (mgmt guidance)</t>
  </si>
  <si>
    <t xml:space="preserve">13</t>
  </si>
  <si>
    <t xml:space="preserve">2. Derived from the anchors (formulas)</t>
  </si>
  <si>
    <t xml:space="preserve">GOV per order</t>
  </si>
  <si>
    <t xml:space="preserve">Derived</t>
  </si>
  <si>
    <t xml:space="preserve">GOV / orders</t>
  </si>
  <si>
    <t xml:space="preserve">Adjusted revenue per order (after product cost)</t>
  </si>
  <si>
    <t xml:space="preserve">Adjusted revenue / orders</t>
  </si>
  <si>
    <t xml:space="preserve">Reported store contribution per order</t>
  </si>
  <si>
    <t xml:space="preserve">Contribution margin x GOV per order (same as I12 in CSV)</t>
  </si>
  <si>
    <t xml:space="preserve">All-in cost per order (variable + store costs, as the company defines contribution)</t>
  </si>
  <si>
    <t xml:space="preserve">Adjusted revenue per order less contribution per order</t>
  </si>
  <si>
    <t xml:space="preserve">3. Synthetic allocation (NOT disclosed by the company; judgement, adjustable)</t>
  </si>
  <si>
    <t xml:space="preserve">S1</t>
  </si>
  <si>
    <t xml:space="preserve">Share of adjusted revenue from product margin / commission</t>
  </si>
  <si>
    <t xml:space="preserve">% of adjusted revenue</t>
  </si>
  <si>
    <t xml:space="preserve">Synthetic</t>
  </si>
  <si>
    <t xml:space="preserve">Allocation of the anchored total. Company does not split it</t>
  </si>
  <si>
    <t xml:space="preserve">S2</t>
  </si>
  <si>
    <t xml:space="preserve">Share of adjusted revenue from ad income</t>
  </si>
  <si>
    <t xml:space="preserve">Same</t>
  </si>
  <si>
    <t xml:space="preserve">Share of adjusted revenue from customer fees (residual)</t>
  </si>
  <si>
    <t xml:space="preserve">Residual so the three shares sum to 100%</t>
  </si>
  <si>
    <t xml:space="preserve">S3</t>
  </si>
  <si>
    <t xml:space="preserve">Share of all-in cost: platform-funded discounts</t>
  </si>
  <si>
    <t xml:space="preserve">% of all-in cost</t>
  </si>
  <si>
    <t xml:space="preserve">Allocation of the anchored total</t>
  </si>
  <si>
    <t xml:space="preserve">S4</t>
  </si>
  <si>
    <t xml:space="preserve">Share of all-in cost: last-mile delivery</t>
  </si>
  <si>
    <t xml:space="preserve">S5</t>
  </si>
  <si>
    <t xml:space="preserve">Share of all-in cost: picking and packing</t>
  </si>
  <si>
    <t xml:space="preserve">S6</t>
  </si>
  <si>
    <t xml:space="preserve">Share of all-in cost: payment and other per-order costs</t>
  </si>
  <si>
    <t xml:space="preserve">Share of all-in cost: dark store fixed costs (residual)</t>
  </si>
  <si>
    <t xml:space="preserve">Residual: rent, fixed staff, utilities</t>
  </si>
  <si>
    <t xml:space="preserve">S7</t>
  </si>
  <si>
    <t xml:space="preserve">Days per month</t>
  </si>
  <si>
    <t xml:space="preserve">days</t>
  </si>
  <si>
    <t xml:space="preserve">Convention for the monthly column</t>
  </si>
  <si>
    <t xml:space="preserve">4. Scenario levers (0% = base case; Day 3 will flex these)</t>
  </si>
  <si>
    <t xml:space="preserve">L1</t>
  </si>
  <si>
    <t xml:space="preserve">Change in order value (NOV per order)</t>
  </si>
  <si>
    <t xml:space="preserve">% change</t>
  </si>
  <si>
    <t xml:space="preserve">Scenario lever</t>
  </si>
  <si>
    <t xml:space="preserve">Base case = 0%</t>
  </si>
  <si>
    <t xml:space="preserve">L2</t>
  </si>
  <si>
    <t xml:space="preserve">Change in orders per day</t>
  </si>
  <si>
    <t xml:space="preserve">L3</t>
  </si>
  <si>
    <t xml:space="preserve">Change in delivery cost per order</t>
  </si>
  <si>
    <t xml:space="preserve">L4</t>
  </si>
  <si>
    <t xml:space="preserve">Change in ad income per order</t>
  </si>
  <si>
    <t xml:space="preserve">5. Model inputs per order, derived (formulas)</t>
  </si>
  <si>
    <t xml:space="preserve">Product margin as % of NOV</t>
  </si>
  <si>
    <t xml:space="preserve">% of NOV</t>
  </si>
  <si>
    <t xml:space="preserve">Product margin share x adjusted revenue / base NOV</t>
  </si>
  <si>
    <t xml:space="preserve">Ad income per order (base)</t>
  </si>
  <si>
    <t xml:space="preserve">Customer fees per order</t>
  </si>
  <si>
    <t xml:space="preserve">Platform-funded discounts per order</t>
  </si>
  <si>
    <t xml:space="preserve">Delivery cost per order (base)</t>
  </si>
  <si>
    <t xml:space="preserve">Picking and packing per order</t>
  </si>
  <si>
    <t xml:space="preserve">Payment and other per-order costs as % of NOV</t>
  </si>
  <si>
    <t xml:space="preserve">Scales with order value</t>
  </si>
  <si>
    <t xml:space="preserve">Dark store fixed cost per day</t>
  </si>
  <si>
    <t xml:space="preserve">INR/day</t>
  </si>
  <si>
    <t xml:space="preserve">Fixed share x all-in cost per order x base orders per day. Stays fixed if volume changes</t>
  </si>
  <si>
    <t xml:space="preserve">6. Scenario drivers used by the model (formulas, include the levers)</t>
  </si>
  <si>
    <t xml:space="preserve">NOV per order used</t>
  </si>
  <si>
    <t xml:space="preserve">Orders per day used</t>
  </si>
  <si>
    <t xml:space="preserve">orders/day</t>
  </si>
  <si>
    <t xml:space="preserve">Delivery cost per order used</t>
  </si>
  <si>
    <t xml:space="preserve">Ad income per order used</t>
  </si>
  <si>
    <t xml:space="preserve">7. Reference only (not used in any calculation)</t>
  </si>
  <si>
    <t xml:space="preserve">B12</t>
  </si>
  <si>
    <t xml:space="preserve">Blinkit contribution per order (derived from Eternal letter)</t>
  </si>
  <si>
    <t xml:space="preserve">Reference only</t>
  </si>
  <si>
    <t xml:space="preserve">Eternal Q2FY27 Shareholders' Letter, 21-Oct-2026 (contribution 1,118 cr / 398.9m orders)</t>
  </si>
  <si>
    <t xml:space="preserve">https://www.eternal.com/blog/q2fy27/</t>
  </si>
  <si>
    <t xml:space="preserve">B01</t>
  </si>
  <si>
    <t xml:space="preserve">Blinkit net average order value</t>
  </si>
  <si>
    <t xml:space="preserve">Eternal Q2FY27 Shareholders' Letter, 21-Oct-2026</t>
  </si>
  <si>
    <t xml:space="preserve">B11</t>
  </si>
  <si>
    <t xml:space="preserve">Blinkit orders per store per day (derived: 902k NOV per store per day / 525)</t>
  </si>
  <si>
    <t xml:space="preserve">8. Day 3 settings (table axes and ranking step; edit to change the tables)</t>
  </si>
  <si>
    <t xml:space="preserve">SS1</t>
  </si>
  <si>
    <t xml:space="preserve">Order value axis: first point (change vs base)</t>
  </si>
  <si>
    <t xml:space="preserve">Sensitivity setting</t>
  </si>
  <si>
    <t xml:space="preserve">Sensitivity table axis</t>
  </si>
  <si>
    <t xml:space="preserve">SS2</t>
  </si>
  <si>
    <t xml:space="preserve">Order value axis: step between points</t>
  </si>
  <si>
    <t xml:space="preserve">SS3</t>
  </si>
  <si>
    <t xml:space="preserve">Orders per day axis: first point (change vs base)</t>
  </si>
  <si>
    <t xml:space="preserve">SS4</t>
  </si>
  <si>
    <t xml:space="preserve">Orders per day axis: step between points</t>
  </si>
  <si>
    <t xml:space="preserve">SS5</t>
  </si>
  <si>
    <t xml:space="preserve">Delivery cost axis: first point (change vs base)</t>
  </si>
  <si>
    <t xml:space="preserve">SS6</t>
  </si>
  <si>
    <t xml:space="preserve">Delivery cost axis: step between points</t>
  </si>
  <si>
    <t xml:space="preserve">SS7</t>
  </si>
  <si>
    <t xml:space="preserve">Size of the favourable change used to rank the levers</t>
  </si>
  <si>
    <t xml:space="preserve">Roadmap: rank levers for a 10% change in each</t>
  </si>
  <si>
    <t xml:space="preserve">9. Day 3 building blocks at the base case (formulas; ignore the scenario levers)</t>
  </si>
  <si>
    <t xml:space="preserve">Margin on each rupee of NOV after payment costs (product margin % less payment cost %)</t>
  </si>
  <si>
    <t xml:space="preserve">Other per-order items except delivery (ad income + customer fees - discounts - picking and packing)</t>
  </si>
  <si>
    <t xml:space="preserve">Dark store fixed cost per order at base volume</t>
  </si>
  <si>
    <t xml:space="preserve">CM2 per order at base</t>
  </si>
  <si>
    <t xml:space="preserve">Store contribution per order at base</t>
  </si>
  <si>
    <t xml:space="preserve">Store contribution per day at base</t>
  </si>
  <si>
    <t xml:space="preserve">10. Model checks</t>
  </si>
  <si>
    <t xml:space="preserve">Revenue split residual is not negative</t>
  </si>
  <si>
    <t xml:space="preserve">Check</t>
  </si>
  <si>
    <t xml:space="preserve">Cost split residual is not negative</t>
  </si>
  <si>
    <t xml:space="preserve">Base case store contribution per order equals the reported derived value (only when all levers are 0)</t>
  </si>
  <si>
    <t xml:space="preserve">Store daily P&amp;L ties to per-order P&amp;L</t>
  </si>
  <si>
    <t xml:space="preserve">Day 3 building blocks equal the reported derived contribution per order</t>
  </si>
  <si>
    <t xml:space="preserve">Contribution at the break-even volume is zero</t>
  </si>
  <si>
    <t xml:space="preserve">Lever ranking base equals Store daily P&amp;L (only when all levers are 0)</t>
  </si>
  <si>
    <t xml:space="preserve">Per-order P&amp;L (INR per order)</t>
  </si>
  <si>
    <t xml:space="preserve">Synthetic dark store, base case calibrated to Swiggy Instamart Q2 FY27. Every number below is a formula that points to the Assumptions sheet.</t>
  </si>
  <si>
    <t xml:space="preserve">CM1 and CM2: CM1 is what an order earns after the product and the discounts, meaning net order value less product cost (the seller's or supplier's share), plus the ad income and customer fees the platform collects, less platform-funded discounts. CM2 is CM1 less the variable cost of fulfilling the order: picking, packing, last-mile delivery, and payment and other per-order costs. Dark store fixed costs (rent, fixed staff, utilities) sit below CM2 and are spread over the day's orders; CM2 less that charge is the store contribution per order, which matches the way the companies report contribution. Central costs such as technology, brand marketing and corporate overhead are excluded.</t>
  </si>
  <si>
    <t xml:space="preserve">Line</t>
  </si>
  <si>
    <t xml:space="preserve">INR per order</t>
  </si>
  <si>
    <t xml:space="preserve">How it is built</t>
  </si>
  <si>
    <t xml:space="preserve">Net order value (NOV)</t>
  </si>
  <si>
    <t xml:space="preserve">NOV per order used (base 506 x (1 + order value lever))</t>
  </si>
  <si>
    <t xml:space="preserve">Less: product cost / seller share</t>
  </si>
  <si>
    <t xml:space="preserve">NOV x (1 - product margin %)</t>
  </si>
  <si>
    <t xml:space="preserve">Product margin / commission</t>
  </si>
  <si>
    <t xml:space="preserve">NOV less product cost</t>
  </si>
  <si>
    <t xml:space="preserve">Ad income</t>
  </si>
  <si>
    <t xml:space="preserve">Customer fees (delivery, handling, platform)</t>
  </si>
  <si>
    <t xml:space="preserve">Revenue after product cost</t>
  </si>
  <si>
    <t xml:space="preserve">Matches Swiggy's Adjusted Revenue per order in the base case</t>
  </si>
  <si>
    <t xml:space="preserve">Less: platform-funded discounts</t>
  </si>
  <si>
    <t xml:space="preserve">CM1</t>
  </si>
  <si>
    <t xml:space="preserve">Revenue after product cost and discounts</t>
  </si>
  <si>
    <t xml:space="preserve">Less: picking and packing</t>
  </si>
  <si>
    <t xml:space="preserve">Less: last-mile delivery</t>
  </si>
  <si>
    <t xml:space="preserve">Less: payment and other per-order costs</t>
  </si>
  <si>
    <t xml:space="preserve">% of NOV, scales with order value</t>
  </si>
  <si>
    <t xml:space="preserve">CM2</t>
  </si>
  <si>
    <t xml:space="preserve">CM1 less picking, packing, delivery, payment</t>
  </si>
  <si>
    <t xml:space="preserve">Less: dark store fixed cost per order</t>
  </si>
  <si>
    <t xml:space="preserve">Fixed cost per day / orders per day used</t>
  </si>
  <si>
    <t xml:space="preserve">Store contribution per order</t>
  </si>
  <si>
    <t xml:space="preserve">CM2 less fixed store cost. Negative = the store loses money on each order</t>
  </si>
  <si>
    <t xml:space="preserve">Memo and checks</t>
  </si>
  <si>
    <t xml:space="preserve">Reported store contribution per order (Swiggy, derived)</t>
  </si>
  <si>
    <t xml:space="preserve">Model less reported (0 in the base case)</t>
  </si>
  <si>
    <t xml:space="preserve">Zero only while all four levers are 0%</t>
  </si>
  <si>
    <t xml:space="preserve">Break-even benchmark per order (Swiggy guidance)</t>
  </si>
  <si>
    <t xml:space="preserve">Store contribution per order less benchmark</t>
  </si>
  <si>
    <t xml:space="preserve">Negative = gap that levers must close</t>
  </si>
  <si>
    <t xml:space="preserve">Reference: Blinkit contribution per order (Q2 FY27, derived)</t>
  </si>
  <si>
    <t xml:space="preserve">Store daily P&amp;L (INR)</t>
  </si>
  <si>
    <t xml:space="preserve">One synthetic dark store. Per-day lines = orders per day x per-order line; fixed cost is charged once per day.</t>
  </si>
  <si>
    <t xml:space="preserve">Orders per day</t>
  </si>
  <si>
    <t xml:space="preserve">INR per day</t>
  </si>
  <si>
    <t xml:space="preserve">INR per month</t>
  </si>
  <si>
    <t xml:space="preserve">Orders per day x per-order line (Per-order P&amp;L row 6)</t>
  </si>
  <si>
    <t xml:space="preserve">Orders per day x per-order line (Per-order P&amp;L row 7)</t>
  </si>
  <si>
    <t xml:space="preserve">Orders per day x per-order line (Per-order P&amp;L row 8)</t>
  </si>
  <si>
    <t xml:space="preserve">Orders per day x per-order line (Per-order P&amp;L row 9)</t>
  </si>
  <si>
    <t xml:space="preserve">Orders per day x per-order line (Per-order P&amp;L row 10)</t>
  </si>
  <si>
    <t xml:space="preserve">Orders per day x per-order line (Per-order P&amp;L row 11)</t>
  </si>
  <si>
    <t xml:space="preserve">Orders per day x per-order line (Per-order P&amp;L row 12)</t>
  </si>
  <si>
    <t xml:space="preserve">Orders per day x per-order line (Per-order P&amp;L row 13)</t>
  </si>
  <si>
    <t xml:space="preserve">Orders per day x per-order line (Per-order P&amp;L row 14)</t>
  </si>
  <si>
    <t xml:space="preserve">Orders per day x per-order line (Per-order P&amp;L row 15)</t>
  </si>
  <si>
    <t xml:space="preserve">Orders per day x per-order line (Per-order P&amp;L row 16)</t>
  </si>
  <si>
    <t xml:space="preserve">Orders per day x per-order line (Per-order P&amp;L row 17)</t>
  </si>
  <si>
    <t xml:space="preserve">Less: dark store fixed cost per day</t>
  </si>
  <si>
    <t xml:space="preserve">Fixed cost per day, charged once</t>
  </si>
  <si>
    <t xml:space="preserve">Negative = the store loses money per day</t>
  </si>
  <si>
    <t xml:space="preserve">Store contribution per order (daily total / orders)</t>
  </si>
  <si>
    <t xml:space="preserve">Difference vs Per-order P&amp;L (should be 0)</t>
  </si>
  <si>
    <t xml:space="preserve">Break-even (store level, INR)</t>
  </si>
  <si>
    <t xml:space="preserve">All figures start from the base case on the Assumptions sheet and ignore the scenario levers. Modeled scenario estimates for a synthetic store, not company measurements.</t>
  </si>
  <si>
    <t xml:space="preserve">A. Break-even orders per store per day (everything else at base case)</t>
  </si>
  <si>
    <t xml:space="preserve">Note</t>
  </si>
  <si>
    <t xml:space="preserve">INR/order: what each extra order contributes toward fixed cost</t>
  </si>
  <si>
    <t xml:space="preserve">Break-even orders per store per day</t>
  </si>
  <si>
    <t xml:space="preserve">Fixed cost per day / CM2 per order</t>
  </si>
  <si>
    <t xml:space="preserve">Base orders per store per day</t>
  </si>
  <si>
    <t xml:space="preserve">Instamart Q2 FY27, reported</t>
  </si>
  <si>
    <t xml:space="preserve">Extra orders needed per day</t>
  </si>
  <si>
    <t xml:space="preserve">Increase needed in orders per day</t>
  </si>
  <si>
    <t xml:space="preserve">Reference: Blinkit orders per store per day</t>
  </si>
  <si>
    <t xml:space="preserve">Derived from Eternal's NOV per store per day / NAOV; not a reported figure</t>
  </si>
  <si>
    <t xml:space="preserve">Break-even volume less Blinkit reference</t>
  </si>
  <si>
    <t xml:space="preserve">Negative = break-even volume is below what Blinkit stores already do</t>
  </si>
  <si>
    <t xml:space="preserve">B. Break-even by single lever (one lever moves, all others stay at base)</t>
  </si>
  <si>
    <t xml:space="preserve">Lever</t>
  </si>
  <si>
    <t xml:space="preserve">Base value</t>
  </si>
  <si>
    <t xml:space="preserve">Break-even value</t>
  </si>
  <si>
    <t xml:space="preserve">Change needed</t>
  </si>
  <si>
    <t xml:space="preserve">Order value (NOV per order)</t>
  </si>
  <si>
    <t xml:space="preserve">Delivery cost per order (needs to fall)</t>
  </si>
  <si>
    <t xml:space="preserve">Ad income per order</t>
  </si>
  <si>
    <t xml:space="preserve">How to read: the store loses money per order at base. Each row shows how far that single lever alone would have to move to reach zero store contribution. Levers can be combined, which needs smaller moves in each.</t>
  </si>
  <si>
    <t xml:space="preserve">Sensitivity tables: store contribution per day (INR per store per day)</t>
  </si>
  <si>
    <t xml:space="preserve">Base case on the Assumptions sheet, scenario levers ignored. Green = store profit, red = store loss. Modeled scenario estimates for a synthetic store, not company measurements.</t>
  </si>
  <si>
    <t xml:space="preserve">Table 1. Order value x orders per day</t>
  </si>
  <si>
    <t xml:space="preserve">Order value change (down) / orders per day change (across)</t>
  </si>
  <si>
    <t xml:space="preserve">NOV, INR/order</t>
  </si>
  <si>
    <t xml:space="preserve">Table 2. Delivery cost x order value</t>
  </si>
  <si>
    <t xml:space="preserve">Delivery cost change (down) / order value change (across)</t>
  </si>
  <si>
    <t xml:space="preserve">Delivery cost, INR/order</t>
  </si>
  <si>
    <t xml:space="preserve">Lever ranking: effect of a favourable change in each lever (INR per store per day)</t>
  </si>
  <si>
    <t xml:space="preserve">One lever changes at a time, all others at base. Ranks profit impact only, not how easy each change would be. Modeled scenario estimates, not company measurements.</t>
  </si>
  <si>
    <t xml:space="preserve">Size of favourable change applied to each lever</t>
  </si>
  <si>
    <t xml:space="preserve">Base store contribution per day (INR)</t>
  </si>
  <si>
    <t xml:space="preserve">Change applied</t>
  </si>
  <si>
    <t xml:space="preserve">Store contribution per day after change</t>
  </si>
  <si>
    <t xml:space="preserve">Change vs base, INR/day</t>
  </si>
  <si>
    <t xml:space="preserve">Share of base daily loss closed</t>
  </si>
  <si>
    <t xml:space="preserve">Contribution per order after change, INR</t>
  </si>
  <si>
    <t xml:space="preserve">Rank</t>
  </si>
  <si>
    <t xml:space="preserve">Order value up</t>
  </si>
  <si>
    <t xml:space="preserve">Orders per day up</t>
  </si>
  <si>
    <t xml:space="preserve">Delivery cost per order down</t>
  </si>
  <si>
    <t xml:space="preserve">Ad income per order up</t>
  </si>
  <si>
    <t xml:space="preserve">Ranked, largest profit impact first</t>
  </si>
</sst>
</file>

<file path=xl/styles.xml><?xml version="1.0" encoding="utf-8"?>
<styleSheet xmlns="http://schemas.openxmlformats.org/spreadsheetml/2006/main">
  <numFmts count="9">
    <numFmt numFmtId="164" formatCode="General"/>
    <numFmt numFmtId="165" formatCode="#,##0.00;\(#,##0.00\);\-"/>
    <numFmt numFmtId="166" formatCode="#,##0;\(#,##0\);\-"/>
    <numFmt numFmtId="167" formatCode="#,##0.0;\(#,##0.0\);\-"/>
    <numFmt numFmtId="168" formatCode="0.0%"/>
    <numFmt numFmtId="169" formatCode="0.00%"/>
    <numFmt numFmtId="170" formatCode="0.0%;\(0.0%\);\-"/>
    <numFmt numFmtId="171" formatCode="\+0.0%;\-0.0%;0.0%"/>
    <numFmt numFmtId="172" formatCode="0"/>
  </numFmts>
  <fonts count="14">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i val="true"/>
      <sz val="10"/>
      <color rgb="FF000000"/>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sz val="9"/>
      <color rgb="FF000000"/>
      <name val="Arial"/>
      <family val="0"/>
      <charset val="1"/>
    </font>
    <font>
      <b val="true"/>
      <sz val="10"/>
      <color rgb="FF008000"/>
      <name val="Arial"/>
      <family val="0"/>
      <charset val="1"/>
    </font>
    <font>
      <i val="true"/>
      <sz val="9"/>
      <color rgb="FF000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F2F2F2"/>
      </patternFill>
    </fill>
    <fill>
      <patternFill patternType="solid">
        <fgColor rgb="FFF2F2F2"/>
        <bgColor rgb="FFFFFFFF"/>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68" fontId="7" fillId="2"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70" fontId="6" fillId="5" borderId="1"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5"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6" fontId="6" fillId="5" borderId="0" xfId="0" applyFont="true" applyBorder="false" applyAlignment="true" applyProtection="false">
      <alignment horizontal="right"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9C0006"/>
        <sz val="10"/>
      </font>
      <fill>
        <patternFill>
          <bgColor rgb="FFFFC7CE"/>
        </patternFill>
      </fill>
    </dxf>
    <dxf>
      <font>
        <name val="Arial"/>
        <charset val="1"/>
        <family val="0"/>
        <color rgb="FF006100"/>
        <sz val="1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14"/>
    <col collapsed="false" customWidth="true" hidden="false" outlineLevel="0" max="5" min="4" style="0" width="22"/>
    <col collapsed="false" customWidth="true" hidden="false" outlineLevel="0" max="6" min="6" style="0" width="60"/>
    <col collapsed="false" customWidth="true" hidden="false" outlineLevel="0" max="7" min="7" style="0" width="8"/>
    <col collapsed="false" customWidth="true" hidden="false" outlineLevel="0" max="8" min="8" style="0" width="50"/>
  </cols>
  <sheetData>
    <row r="1" customFormat="false" ht="16.1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c r="B4" s="4" t="s">
        <v>3</v>
      </c>
      <c r="C4" s="5" t="s">
        <v>4</v>
      </c>
      <c r="D4" s="6" t="s">
        <v>5</v>
      </c>
      <c r="E4" s="7" t="s">
        <v>6</v>
      </c>
    </row>
    <row r="5" customFormat="false" ht="15" hidden="false" customHeight="false" outlineLevel="0" collapsed="false">
      <c r="A5" s="8" t="s">
        <v>7</v>
      </c>
    </row>
    <row r="7" customFormat="false" ht="30" hidden="false" customHeight="true" outlineLevel="0" collapsed="false">
      <c r="A7" s="9" t="s">
        <v>8</v>
      </c>
      <c r="B7" s="9" t="s">
        <v>9</v>
      </c>
      <c r="C7" s="9" t="s">
        <v>10</v>
      </c>
      <c r="D7" s="9" t="s">
        <v>11</v>
      </c>
      <c r="E7" s="9" t="s">
        <v>12</v>
      </c>
      <c r="F7" s="9" t="s">
        <v>13</v>
      </c>
      <c r="G7" s="9" t="s">
        <v>14</v>
      </c>
      <c r="H7" s="9" t="s">
        <v>15</v>
      </c>
    </row>
    <row r="8" customFormat="false" ht="15" hidden="false" customHeight="false" outlineLevel="0" collapsed="false">
      <c r="A8" s="10" t="s">
        <v>16</v>
      </c>
      <c r="B8" s="11"/>
      <c r="C8" s="11"/>
      <c r="D8" s="11"/>
      <c r="E8" s="11"/>
      <c r="F8" s="11"/>
      <c r="G8" s="11"/>
      <c r="H8" s="11"/>
    </row>
    <row r="9" customFormat="false" ht="15" hidden="false" customHeight="false" outlineLevel="0" collapsed="false">
      <c r="A9" s="5" t="s">
        <v>17</v>
      </c>
      <c r="B9" s="12" t="s">
        <v>18</v>
      </c>
      <c r="C9" s="13" t="n">
        <v>506</v>
      </c>
      <c r="D9" s="5" t="s">
        <v>19</v>
      </c>
      <c r="E9" s="5" t="s">
        <v>20</v>
      </c>
      <c r="F9" s="12" t="s">
        <v>21</v>
      </c>
      <c r="G9" s="5" t="s">
        <v>22</v>
      </c>
      <c r="H9" s="14" t="s">
        <v>23</v>
      </c>
    </row>
    <row r="10" customFormat="false" ht="15" hidden="false" customHeight="false" outlineLevel="0" collapsed="false">
      <c r="A10" s="5" t="s">
        <v>24</v>
      </c>
      <c r="B10" s="12" t="s">
        <v>25</v>
      </c>
      <c r="C10" s="15" t="n">
        <v>1192</v>
      </c>
      <c r="D10" s="5" t="s">
        <v>26</v>
      </c>
      <c r="E10" s="5" t="s">
        <v>20</v>
      </c>
      <c r="F10" s="12" t="s">
        <v>21</v>
      </c>
      <c r="G10" s="5" t="s">
        <v>27</v>
      </c>
      <c r="H10" s="14" t="s">
        <v>23</v>
      </c>
    </row>
    <row r="11" customFormat="false" ht="15" hidden="false" customHeight="false" outlineLevel="0" collapsed="false">
      <c r="A11" s="5" t="s">
        <v>28</v>
      </c>
      <c r="B11" s="12" t="s">
        <v>29</v>
      </c>
      <c r="C11" s="16" t="n">
        <v>130.3</v>
      </c>
      <c r="D11" s="5" t="s">
        <v>30</v>
      </c>
      <c r="E11" s="5" t="s">
        <v>20</v>
      </c>
      <c r="F11" s="12" t="s">
        <v>21</v>
      </c>
      <c r="G11" s="5" t="s">
        <v>27</v>
      </c>
      <c r="H11" s="14" t="s">
        <v>23</v>
      </c>
    </row>
    <row r="12" customFormat="false" ht="15" hidden="false" customHeight="false" outlineLevel="0" collapsed="false">
      <c r="A12" s="5" t="s">
        <v>31</v>
      </c>
      <c r="B12" s="12" t="s">
        <v>32</v>
      </c>
      <c r="C12" s="15" t="n">
        <v>9230</v>
      </c>
      <c r="D12" s="5" t="s">
        <v>33</v>
      </c>
      <c r="E12" s="5" t="s">
        <v>20</v>
      </c>
      <c r="F12" s="12" t="s">
        <v>21</v>
      </c>
      <c r="G12" s="5" t="s">
        <v>34</v>
      </c>
      <c r="H12" s="14" t="s">
        <v>23</v>
      </c>
    </row>
    <row r="13" customFormat="false" ht="15" hidden="false" customHeight="false" outlineLevel="0" collapsed="false">
      <c r="A13" s="5" t="s">
        <v>35</v>
      </c>
      <c r="B13" s="12" t="s">
        <v>36</v>
      </c>
      <c r="C13" s="15" t="n">
        <v>1307</v>
      </c>
      <c r="D13" s="5" t="s">
        <v>33</v>
      </c>
      <c r="E13" s="5" t="s">
        <v>20</v>
      </c>
      <c r="F13" s="12" t="s">
        <v>21</v>
      </c>
      <c r="G13" s="5" t="s">
        <v>27</v>
      </c>
      <c r="H13" s="14" t="s">
        <v>23</v>
      </c>
    </row>
    <row r="14" customFormat="false" ht="15" hidden="false" customHeight="false" outlineLevel="0" collapsed="false">
      <c r="A14" s="5" t="s">
        <v>37</v>
      </c>
      <c r="B14" s="12" t="s">
        <v>38</v>
      </c>
      <c r="C14" s="17" t="n">
        <v>-0.01</v>
      </c>
      <c r="D14" s="5" t="s">
        <v>39</v>
      </c>
      <c r="E14" s="5" t="s">
        <v>20</v>
      </c>
      <c r="F14" s="12" t="s">
        <v>21</v>
      </c>
      <c r="G14" s="5" t="s">
        <v>34</v>
      </c>
      <c r="H14" s="14" t="s">
        <v>23</v>
      </c>
    </row>
    <row r="15" customFormat="false" ht="23.85" hidden="false" customHeight="false" outlineLevel="0" collapsed="false">
      <c r="A15" s="5" t="s">
        <v>40</v>
      </c>
      <c r="B15" s="12" t="s">
        <v>41</v>
      </c>
      <c r="C15" s="13" t="n">
        <v>30</v>
      </c>
      <c r="D15" s="5" t="s">
        <v>19</v>
      </c>
      <c r="E15" s="5" t="s">
        <v>42</v>
      </c>
      <c r="F15" s="12" t="s">
        <v>21</v>
      </c>
      <c r="G15" s="5" t="s">
        <v>43</v>
      </c>
      <c r="H15" s="14" t="s">
        <v>23</v>
      </c>
    </row>
    <row r="16" customFormat="false" ht="15" hidden="false" customHeight="false" outlineLevel="0" collapsed="false">
      <c r="A16" s="10" t="s">
        <v>44</v>
      </c>
      <c r="B16" s="11"/>
      <c r="C16" s="11"/>
      <c r="D16" s="11"/>
      <c r="E16" s="11"/>
      <c r="F16" s="11"/>
      <c r="G16" s="11"/>
      <c r="H16" s="11"/>
    </row>
    <row r="17" customFormat="false" ht="15" hidden="false" customHeight="false" outlineLevel="0" collapsed="false">
      <c r="A17" s="5"/>
      <c r="B17" s="12" t="s">
        <v>45</v>
      </c>
      <c r="C17" s="18" t="n">
        <f aca="false">$C$12*10000000/($C$11*1000000)</f>
        <v>708.365310821182</v>
      </c>
      <c r="D17" s="5" t="s">
        <v>19</v>
      </c>
      <c r="E17" s="5" t="s">
        <v>46</v>
      </c>
      <c r="F17" s="12" t="s">
        <v>47</v>
      </c>
      <c r="G17" s="5"/>
      <c r="H17" s="14"/>
    </row>
    <row r="18" customFormat="false" ht="15" hidden="false" customHeight="false" outlineLevel="0" collapsed="false">
      <c r="A18" s="5"/>
      <c r="B18" s="12" t="s">
        <v>48</v>
      </c>
      <c r="C18" s="18" t="n">
        <f aca="false">$C$13*10000000/($C$11*1000000)</f>
        <v>100.306983883346</v>
      </c>
      <c r="D18" s="5" t="s">
        <v>19</v>
      </c>
      <c r="E18" s="5" t="s">
        <v>46</v>
      </c>
      <c r="F18" s="12" t="s">
        <v>49</v>
      </c>
      <c r="G18" s="5"/>
      <c r="H18" s="14"/>
    </row>
    <row r="19" customFormat="false" ht="15" hidden="false" customHeight="false" outlineLevel="0" collapsed="false">
      <c r="A19" s="5"/>
      <c r="B19" s="12" t="s">
        <v>50</v>
      </c>
      <c r="C19" s="18" t="n">
        <f aca="false">$C$14*$C$17</f>
        <v>-7.08365310821182</v>
      </c>
      <c r="D19" s="5" t="s">
        <v>19</v>
      </c>
      <c r="E19" s="5" t="s">
        <v>46</v>
      </c>
      <c r="F19" s="12" t="s">
        <v>51</v>
      </c>
      <c r="G19" s="5"/>
      <c r="H19" s="14"/>
    </row>
    <row r="20" customFormat="false" ht="23.85" hidden="false" customHeight="false" outlineLevel="0" collapsed="false">
      <c r="A20" s="5"/>
      <c r="B20" s="12" t="s">
        <v>52</v>
      </c>
      <c r="C20" s="18" t="n">
        <f aca="false">$C$18-$C$19</f>
        <v>107.390636991558</v>
      </c>
      <c r="D20" s="5" t="s">
        <v>19</v>
      </c>
      <c r="E20" s="5" t="s">
        <v>46</v>
      </c>
      <c r="F20" s="12" t="s">
        <v>53</v>
      </c>
      <c r="G20" s="5"/>
      <c r="H20" s="14"/>
    </row>
    <row r="21" customFormat="false" ht="15" hidden="false" customHeight="false" outlineLevel="0" collapsed="false">
      <c r="A21" s="10" t="s">
        <v>54</v>
      </c>
      <c r="B21" s="11"/>
      <c r="C21" s="11"/>
      <c r="D21" s="11"/>
      <c r="E21" s="11"/>
      <c r="F21" s="11"/>
      <c r="G21" s="11"/>
      <c r="H21" s="11"/>
    </row>
    <row r="22" customFormat="false" ht="15" hidden="false" customHeight="false" outlineLevel="0" collapsed="false">
      <c r="A22" s="5" t="s">
        <v>55</v>
      </c>
      <c r="B22" s="12" t="s">
        <v>56</v>
      </c>
      <c r="C22" s="17" t="n">
        <v>0.6</v>
      </c>
      <c r="D22" s="5" t="s">
        <v>57</v>
      </c>
      <c r="E22" s="5" t="s">
        <v>58</v>
      </c>
      <c r="F22" s="12" t="s">
        <v>59</v>
      </c>
      <c r="G22" s="5"/>
      <c r="H22" s="14"/>
    </row>
    <row r="23" customFormat="false" ht="15" hidden="false" customHeight="false" outlineLevel="0" collapsed="false">
      <c r="A23" s="5" t="s">
        <v>60</v>
      </c>
      <c r="B23" s="12" t="s">
        <v>61</v>
      </c>
      <c r="C23" s="17" t="n">
        <v>0.2</v>
      </c>
      <c r="D23" s="5" t="s">
        <v>57</v>
      </c>
      <c r="E23" s="5" t="s">
        <v>58</v>
      </c>
      <c r="F23" s="12" t="s">
        <v>62</v>
      </c>
      <c r="G23" s="5"/>
      <c r="H23" s="14"/>
    </row>
    <row r="24" customFormat="false" ht="15" hidden="false" customHeight="false" outlineLevel="0" collapsed="false">
      <c r="A24" s="5"/>
      <c r="B24" s="12" t="s">
        <v>63</v>
      </c>
      <c r="C24" s="19" t="n">
        <f aca="false">1-$C$22-$C$23</f>
        <v>0.2</v>
      </c>
      <c r="D24" s="5" t="s">
        <v>57</v>
      </c>
      <c r="E24" s="5" t="s">
        <v>46</v>
      </c>
      <c r="F24" s="12" t="s">
        <v>64</v>
      </c>
      <c r="G24" s="5"/>
      <c r="H24" s="14"/>
    </row>
    <row r="25" customFormat="false" ht="15" hidden="false" customHeight="false" outlineLevel="0" collapsed="false">
      <c r="A25" s="5" t="s">
        <v>65</v>
      </c>
      <c r="B25" s="12" t="s">
        <v>66</v>
      </c>
      <c r="C25" s="17" t="n">
        <v>0.12</v>
      </c>
      <c r="D25" s="5" t="s">
        <v>67</v>
      </c>
      <c r="E25" s="5" t="s">
        <v>58</v>
      </c>
      <c r="F25" s="12" t="s">
        <v>68</v>
      </c>
      <c r="G25" s="5"/>
      <c r="H25" s="14"/>
    </row>
    <row r="26" customFormat="false" ht="15" hidden="false" customHeight="false" outlineLevel="0" collapsed="false">
      <c r="A26" s="5" t="s">
        <v>69</v>
      </c>
      <c r="B26" s="12" t="s">
        <v>70</v>
      </c>
      <c r="C26" s="17" t="n">
        <v>0.4</v>
      </c>
      <c r="D26" s="5" t="s">
        <v>67</v>
      </c>
      <c r="E26" s="5" t="s">
        <v>58</v>
      </c>
      <c r="F26" s="12" t="s">
        <v>62</v>
      </c>
      <c r="G26" s="5"/>
      <c r="H26" s="14"/>
    </row>
    <row r="27" customFormat="false" ht="15" hidden="false" customHeight="false" outlineLevel="0" collapsed="false">
      <c r="A27" s="5" t="s">
        <v>71</v>
      </c>
      <c r="B27" s="12" t="s">
        <v>72</v>
      </c>
      <c r="C27" s="17" t="n">
        <v>0.15</v>
      </c>
      <c r="D27" s="5" t="s">
        <v>67</v>
      </c>
      <c r="E27" s="5" t="s">
        <v>58</v>
      </c>
      <c r="F27" s="12" t="s">
        <v>62</v>
      </c>
      <c r="G27" s="5"/>
      <c r="H27" s="14"/>
    </row>
    <row r="28" customFormat="false" ht="15" hidden="false" customHeight="false" outlineLevel="0" collapsed="false">
      <c r="A28" s="5" t="s">
        <v>73</v>
      </c>
      <c r="B28" s="12" t="s">
        <v>74</v>
      </c>
      <c r="C28" s="17" t="n">
        <v>0.08</v>
      </c>
      <c r="D28" s="5" t="s">
        <v>67</v>
      </c>
      <c r="E28" s="5" t="s">
        <v>58</v>
      </c>
      <c r="F28" s="12" t="s">
        <v>62</v>
      </c>
      <c r="G28" s="5"/>
      <c r="H28" s="14"/>
    </row>
    <row r="29" customFormat="false" ht="15" hidden="false" customHeight="false" outlineLevel="0" collapsed="false">
      <c r="A29" s="5"/>
      <c r="B29" s="12" t="s">
        <v>75</v>
      </c>
      <c r="C29" s="19" t="n">
        <f aca="false">1-$C$25-$C$26-$C$27-$C$28</f>
        <v>0.25</v>
      </c>
      <c r="D29" s="5" t="s">
        <v>67</v>
      </c>
      <c r="E29" s="5" t="s">
        <v>46</v>
      </c>
      <c r="F29" s="12" t="s">
        <v>76</v>
      </c>
      <c r="G29" s="5"/>
      <c r="H29" s="14"/>
    </row>
    <row r="30" customFormat="false" ht="15" hidden="false" customHeight="false" outlineLevel="0" collapsed="false">
      <c r="A30" s="5" t="s">
        <v>77</v>
      </c>
      <c r="B30" s="12" t="s">
        <v>78</v>
      </c>
      <c r="C30" s="15" t="n">
        <v>30</v>
      </c>
      <c r="D30" s="5" t="s">
        <v>79</v>
      </c>
      <c r="E30" s="5" t="s">
        <v>58</v>
      </c>
      <c r="F30" s="12" t="s">
        <v>80</v>
      </c>
      <c r="G30" s="5"/>
      <c r="H30" s="14"/>
    </row>
    <row r="31" customFormat="false" ht="15" hidden="false" customHeight="false" outlineLevel="0" collapsed="false">
      <c r="A31" s="10" t="s">
        <v>81</v>
      </c>
      <c r="B31" s="11"/>
      <c r="C31" s="11"/>
      <c r="D31" s="11"/>
      <c r="E31" s="11"/>
      <c r="F31" s="11"/>
      <c r="G31" s="11"/>
      <c r="H31" s="11"/>
    </row>
    <row r="32" customFormat="false" ht="15" hidden="false" customHeight="false" outlineLevel="0" collapsed="false">
      <c r="A32" s="5" t="s">
        <v>82</v>
      </c>
      <c r="B32" s="12" t="s">
        <v>83</v>
      </c>
      <c r="C32" s="20" t="n">
        <v>0</v>
      </c>
      <c r="D32" s="5" t="s">
        <v>84</v>
      </c>
      <c r="E32" s="5" t="s">
        <v>85</v>
      </c>
      <c r="F32" s="12" t="s">
        <v>86</v>
      </c>
      <c r="G32" s="5"/>
      <c r="H32" s="14"/>
    </row>
    <row r="33" customFormat="false" ht="15" hidden="false" customHeight="false" outlineLevel="0" collapsed="false">
      <c r="A33" s="5" t="s">
        <v>87</v>
      </c>
      <c r="B33" s="12" t="s">
        <v>88</v>
      </c>
      <c r="C33" s="20" t="n">
        <v>0</v>
      </c>
      <c r="D33" s="5" t="s">
        <v>84</v>
      </c>
      <c r="E33" s="5" t="s">
        <v>85</v>
      </c>
      <c r="F33" s="12" t="s">
        <v>86</v>
      </c>
      <c r="G33" s="5"/>
      <c r="H33" s="14"/>
    </row>
    <row r="34" customFormat="false" ht="15" hidden="false" customHeight="false" outlineLevel="0" collapsed="false">
      <c r="A34" s="5" t="s">
        <v>89</v>
      </c>
      <c r="B34" s="12" t="s">
        <v>90</v>
      </c>
      <c r="C34" s="20" t="n">
        <v>0</v>
      </c>
      <c r="D34" s="5" t="s">
        <v>84</v>
      </c>
      <c r="E34" s="5" t="s">
        <v>85</v>
      </c>
      <c r="F34" s="12" t="s">
        <v>86</v>
      </c>
      <c r="G34" s="5"/>
      <c r="H34" s="14"/>
    </row>
    <row r="35" customFormat="false" ht="15" hidden="false" customHeight="false" outlineLevel="0" collapsed="false">
      <c r="A35" s="5" t="s">
        <v>91</v>
      </c>
      <c r="B35" s="12" t="s">
        <v>92</v>
      </c>
      <c r="C35" s="20" t="n">
        <v>0</v>
      </c>
      <c r="D35" s="5" t="s">
        <v>84</v>
      </c>
      <c r="E35" s="5" t="s">
        <v>85</v>
      </c>
      <c r="F35" s="12" t="s">
        <v>86</v>
      </c>
      <c r="G35" s="5"/>
      <c r="H35" s="14"/>
    </row>
    <row r="36" customFormat="false" ht="15" hidden="false" customHeight="false" outlineLevel="0" collapsed="false">
      <c r="A36" s="10" t="s">
        <v>93</v>
      </c>
      <c r="B36" s="11"/>
      <c r="C36" s="11"/>
      <c r="D36" s="11"/>
      <c r="E36" s="11"/>
      <c r="F36" s="11"/>
      <c r="G36" s="11"/>
      <c r="H36" s="11"/>
    </row>
    <row r="37" customFormat="false" ht="15" hidden="false" customHeight="false" outlineLevel="0" collapsed="false">
      <c r="A37" s="5"/>
      <c r="B37" s="12" t="s">
        <v>94</v>
      </c>
      <c r="C37" s="19" t="n">
        <f aca="false">$C$22*$C$18/$C$9</f>
        <v>0.118941087608711</v>
      </c>
      <c r="D37" s="5" t="s">
        <v>95</v>
      </c>
      <c r="E37" s="5" t="s">
        <v>46</v>
      </c>
      <c r="F37" s="12" t="s">
        <v>96</v>
      </c>
      <c r="G37" s="5"/>
      <c r="H37" s="14"/>
    </row>
    <row r="38" customFormat="false" ht="15" hidden="false" customHeight="false" outlineLevel="0" collapsed="false">
      <c r="A38" s="5"/>
      <c r="B38" s="12" t="s">
        <v>97</v>
      </c>
      <c r="C38" s="18" t="n">
        <f aca="false">$C$23*$C$18</f>
        <v>20.0613967766692</v>
      </c>
      <c r="D38" s="5" t="s">
        <v>19</v>
      </c>
      <c r="E38" s="5" t="s">
        <v>46</v>
      </c>
      <c r="F38" s="12"/>
      <c r="G38" s="5"/>
      <c r="H38" s="14"/>
    </row>
    <row r="39" customFormat="false" ht="15" hidden="false" customHeight="false" outlineLevel="0" collapsed="false">
      <c r="A39" s="5"/>
      <c r="B39" s="12" t="s">
        <v>98</v>
      </c>
      <c r="C39" s="18" t="n">
        <f aca="false">$C$24*$C$18</f>
        <v>20.0613967766692</v>
      </c>
      <c r="D39" s="5" t="s">
        <v>19</v>
      </c>
      <c r="E39" s="5" t="s">
        <v>46</v>
      </c>
      <c r="F39" s="12"/>
      <c r="G39" s="5"/>
      <c r="H39" s="14"/>
    </row>
    <row r="40" customFormat="false" ht="15" hidden="false" customHeight="false" outlineLevel="0" collapsed="false">
      <c r="A40" s="5"/>
      <c r="B40" s="12" t="s">
        <v>99</v>
      </c>
      <c r="C40" s="18" t="n">
        <f aca="false">$C$25*$C$20</f>
        <v>12.886876438987</v>
      </c>
      <c r="D40" s="5" t="s">
        <v>19</v>
      </c>
      <c r="E40" s="5" t="s">
        <v>46</v>
      </c>
      <c r="F40" s="12"/>
      <c r="G40" s="5"/>
      <c r="H40" s="14"/>
    </row>
    <row r="41" customFormat="false" ht="15" hidden="false" customHeight="false" outlineLevel="0" collapsed="false">
      <c r="A41" s="5"/>
      <c r="B41" s="12" t="s">
        <v>100</v>
      </c>
      <c r="C41" s="18" t="n">
        <f aca="false">$C$26*$C$20</f>
        <v>42.9562547966232</v>
      </c>
      <c r="D41" s="5" t="s">
        <v>19</v>
      </c>
      <c r="E41" s="5" t="s">
        <v>46</v>
      </c>
      <c r="F41" s="12"/>
      <c r="G41" s="5"/>
      <c r="H41" s="14"/>
    </row>
    <row r="42" customFormat="false" ht="15" hidden="false" customHeight="false" outlineLevel="0" collapsed="false">
      <c r="A42" s="5"/>
      <c r="B42" s="12" t="s">
        <v>101</v>
      </c>
      <c r="C42" s="18" t="n">
        <f aca="false">$C$27*$C$20</f>
        <v>16.1085955487337</v>
      </c>
      <c r="D42" s="5" t="s">
        <v>19</v>
      </c>
      <c r="E42" s="5" t="s">
        <v>46</v>
      </c>
      <c r="F42" s="12"/>
      <c r="G42" s="5"/>
      <c r="H42" s="14"/>
    </row>
    <row r="43" customFormat="false" ht="15" hidden="false" customHeight="false" outlineLevel="0" collapsed="false">
      <c r="A43" s="5"/>
      <c r="B43" s="12" t="s">
        <v>102</v>
      </c>
      <c r="C43" s="19" t="n">
        <f aca="false">$C$28*$C$20/$C$9</f>
        <v>0.01697875683661</v>
      </c>
      <c r="D43" s="5" t="s">
        <v>95</v>
      </c>
      <c r="E43" s="5" t="s">
        <v>46</v>
      </c>
      <c r="F43" s="12" t="s">
        <v>103</v>
      </c>
      <c r="G43" s="5"/>
      <c r="H43" s="14"/>
    </row>
    <row r="44" customFormat="false" ht="23.85" hidden="false" customHeight="false" outlineLevel="0" collapsed="false">
      <c r="A44" s="5"/>
      <c r="B44" s="12" t="s">
        <v>104</v>
      </c>
      <c r="C44" s="21" t="n">
        <f aca="false">$C$29*$C$20*$C$10</f>
        <v>32002.4098234843</v>
      </c>
      <c r="D44" s="5" t="s">
        <v>105</v>
      </c>
      <c r="E44" s="5" t="s">
        <v>46</v>
      </c>
      <c r="F44" s="12" t="s">
        <v>106</v>
      </c>
      <c r="G44" s="5"/>
      <c r="H44" s="14"/>
    </row>
    <row r="45" customFormat="false" ht="15" hidden="false" customHeight="false" outlineLevel="0" collapsed="false">
      <c r="A45" s="10" t="s">
        <v>107</v>
      </c>
      <c r="B45" s="11"/>
      <c r="C45" s="11"/>
      <c r="D45" s="11"/>
      <c r="E45" s="11"/>
      <c r="F45" s="11"/>
      <c r="G45" s="11"/>
      <c r="H45" s="11"/>
    </row>
    <row r="46" customFormat="false" ht="15" hidden="false" customHeight="false" outlineLevel="0" collapsed="false">
      <c r="A46" s="5"/>
      <c r="B46" s="12" t="s">
        <v>108</v>
      </c>
      <c r="C46" s="18" t="n">
        <f aca="false">$C$9*(1+$C$32)</f>
        <v>506</v>
      </c>
      <c r="D46" s="5" t="s">
        <v>19</v>
      </c>
      <c r="E46" s="5" t="s">
        <v>46</v>
      </c>
      <c r="F46" s="12"/>
      <c r="G46" s="5"/>
      <c r="H46" s="14"/>
    </row>
    <row r="47" customFormat="false" ht="15" hidden="false" customHeight="false" outlineLevel="0" collapsed="false">
      <c r="A47" s="5"/>
      <c r="B47" s="12" t="s">
        <v>109</v>
      </c>
      <c r="C47" s="21" t="n">
        <f aca="false">$C$10*(1+$C$33)</f>
        <v>1192</v>
      </c>
      <c r="D47" s="5" t="s">
        <v>110</v>
      </c>
      <c r="E47" s="5" t="s">
        <v>46</v>
      </c>
      <c r="F47" s="12"/>
      <c r="G47" s="5"/>
      <c r="H47" s="14"/>
    </row>
    <row r="48" customFormat="false" ht="15" hidden="false" customHeight="false" outlineLevel="0" collapsed="false">
      <c r="A48" s="5"/>
      <c r="B48" s="12" t="s">
        <v>111</v>
      </c>
      <c r="C48" s="18" t="n">
        <f aca="false">$C$41*(1+$C$34)</f>
        <v>42.9562547966232</v>
      </c>
      <c r="D48" s="5" t="s">
        <v>19</v>
      </c>
      <c r="E48" s="5" t="s">
        <v>46</v>
      </c>
      <c r="F48" s="12"/>
      <c r="G48" s="5"/>
      <c r="H48" s="14"/>
    </row>
    <row r="49" customFormat="false" ht="15" hidden="false" customHeight="false" outlineLevel="0" collapsed="false">
      <c r="A49" s="5"/>
      <c r="B49" s="12" t="s">
        <v>112</v>
      </c>
      <c r="C49" s="18" t="n">
        <f aca="false">$C$38*(1+$C$35)</f>
        <v>20.0613967766692</v>
      </c>
      <c r="D49" s="5" t="s">
        <v>19</v>
      </c>
      <c r="E49" s="5" t="s">
        <v>46</v>
      </c>
      <c r="F49" s="12"/>
      <c r="G49" s="5"/>
      <c r="H49" s="14"/>
    </row>
    <row r="50" customFormat="false" ht="15" hidden="false" customHeight="false" outlineLevel="0" collapsed="false">
      <c r="A50" s="10" t="s">
        <v>113</v>
      </c>
      <c r="B50" s="11"/>
      <c r="C50" s="11"/>
      <c r="D50" s="11"/>
      <c r="E50" s="11"/>
      <c r="F50" s="11"/>
      <c r="G50" s="11"/>
      <c r="H50" s="11"/>
    </row>
    <row r="51" customFormat="false" ht="23.85" hidden="false" customHeight="false" outlineLevel="0" collapsed="false">
      <c r="A51" s="5" t="s">
        <v>114</v>
      </c>
      <c r="B51" s="12" t="s">
        <v>115</v>
      </c>
      <c r="C51" s="16" t="n">
        <v>28</v>
      </c>
      <c r="D51" s="5" t="s">
        <v>19</v>
      </c>
      <c r="E51" s="5" t="s">
        <v>116</v>
      </c>
      <c r="F51" s="12" t="s">
        <v>117</v>
      </c>
      <c r="G51" s="5" t="s">
        <v>43</v>
      </c>
      <c r="H51" s="14" t="s">
        <v>118</v>
      </c>
    </row>
    <row r="52" customFormat="false" ht="15" hidden="false" customHeight="false" outlineLevel="0" collapsed="false">
      <c r="A52" s="5" t="s">
        <v>119</v>
      </c>
      <c r="B52" s="12" t="s">
        <v>120</v>
      </c>
      <c r="C52" s="15" t="n">
        <v>525</v>
      </c>
      <c r="D52" s="5" t="s">
        <v>19</v>
      </c>
      <c r="E52" s="5" t="s">
        <v>116</v>
      </c>
      <c r="F52" s="12" t="s">
        <v>121</v>
      </c>
      <c r="G52" s="5" t="s">
        <v>43</v>
      </c>
      <c r="H52" s="14" t="s">
        <v>118</v>
      </c>
    </row>
    <row r="53" customFormat="false" ht="15" hidden="false" customHeight="false" outlineLevel="0" collapsed="false">
      <c r="A53" s="5" t="s">
        <v>122</v>
      </c>
      <c r="B53" s="12" t="s">
        <v>123</v>
      </c>
      <c r="C53" s="15" t="n">
        <v>1718</v>
      </c>
      <c r="D53" s="5" t="s">
        <v>26</v>
      </c>
      <c r="E53" s="5" t="s">
        <v>116</v>
      </c>
      <c r="F53" s="12" t="s">
        <v>121</v>
      </c>
      <c r="G53" s="5" t="s">
        <v>43</v>
      </c>
      <c r="H53" s="14" t="s">
        <v>118</v>
      </c>
    </row>
    <row r="54" customFormat="false" ht="15" hidden="false" customHeight="false" outlineLevel="0" collapsed="false">
      <c r="A54" s="10" t="s">
        <v>124</v>
      </c>
      <c r="B54" s="11"/>
      <c r="C54" s="11"/>
      <c r="D54" s="11"/>
      <c r="E54" s="11"/>
      <c r="F54" s="11"/>
      <c r="G54" s="11"/>
      <c r="H54" s="11"/>
    </row>
    <row r="55" customFormat="false" ht="15" hidden="false" customHeight="false" outlineLevel="0" collapsed="false">
      <c r="A55" s="5" t="s">
        <v>125</v>
      </c>
      <c r="B55" s="12" t="s">
        <v>126</v>
      </c>
      <c r="C55" s="17" t="n">
        <v>-0.1</v>
      </c>
      <c r="D55" s="5" t="s">
        <v>84</v>
      </c>
      <c r="E55" s="5" t="s">
        <v>127</v>
      </c>
      <c r="F55" s="12" t="s">
        <v>128</v>
      </c>
      <c r="G55" s="5"/>
      <c r="H55" s="14"/>
    </row>
    <row r="56" customFormat="false" ht="15" hidden="false" customHeight="false" outlineLevel="0" collapsed="false">
      <c r="A56" s="5" t="s">
        <v>129</v>
      </c>
      <c r="B56" s="12" t="s">
        <v>130</v>
      </c>
      <c r="C56" s="17" t="n">
        <v>0.05</v>
      </c>
      <c r="D56" s="5" t="s">
        <v>84</v>
      </c>
      <c r="E56" s="5" t="s">
        <v>127</v>
      </c>
      <c r="F56" s="12" t="s">
        <v>128</v>
      </c>
      <c r="G56" s="5"/>
      <c r="H56" s="14"/>
    </row>
    <row r="57" customFormat="false" ht="15" hidden="false" customHeight="false" outlineLevel="0" collapsed="false">
      <c r="A57" s="5" t="s">
        <v>131</v>
      </c>
      <c r="B57" s="12" t="s">
        <v>132</v>
      </c>
      <c r="C57" s="17" t="n">
        <v>-0.2</v>
      </c>
      <c r="D57" s="5" t="s">
        <v>84</v>
      </c>
      <c r="E57" s="5" t="s">
        <v>127</v>
      </c>
      <c r="F57" s="12" t="s">
        <v>128</v>
      </c>
      <c r="G57" s="5"/>
      <c r="H57" s="14"/>
    </row>
    <row r="58" customFormat="false" ht="15" hidden="false" customHeight="false" outlineLevel="0" collapsed="false">
      <c r="A58" s="5" t="s">
        <v>133</v>
      </c>
      <c r="B58" s="12" t="s">
        <v>134</v>
      </c>
      <c r="C58" s="17" t="n">
        <v>0.1</v>
      </c>
      <c r="D58" s="5" t="s">
        <v>84</v>
      </c>
      <c r="E58" s="5" t="s">
        <v>127</v>
      </c>
      <c r="F58" s="12" t="s">
        <v>128</v>
      </c>
      <c r="G58" s="5"/>
      <c r="H58" s="14"/>
    </row>
    <row r="59" customFormat="false" ht="15" hidden="false" customHeight="false" outlineLevel="0" collapsed="false">
      <c r="A59" s="5" t="s">
        <v>135</v>
      </c>
      <c r="B59" s="12" t="s">
        <v>136</v>
      </c>
      <c r="C59" s="17" t="n">
        <v>-0.3</v>
      </c>
      <c r="D59" s="5" t="s">
        <v>84</v>
      </c>
      <c r="E59" s="5" t="s">
        <v>127</v>
      </c>
      <c r="F59" s="12" t="s">
        <v>128</v>
      </c>
      <c r="G59" s="5"/>
      <c r="H59" s="14"/>
    </row>
    <row r="60" customFormat="false" ht="15" hidden="false" customHeight="false" outlineLevel="0" collapsed="false">
      <c r="A60" s="5" t="s">
        <v>137</v>
      </c>
      <c r="B60" s="12" t="s">
        <v>138</v>
      </c>
      <c r="C60" s="17" t="n">
        <v>0.1</v>
      </c>
      <c r="D60" s="5" t="s">
        <v>84</v>
      </c>
      <c r="E60" s="5" t="s">
        <v>127</v>
      </c>
      <c r="F60" s="12" t="s">
        <v>128</v>
      </c>
      <c r="G60" s="5"/>
      <c r="H60" s="14"/>
    </row>
    <row r="61" customFormat="false" ht="15" hidden="false" customHeight="false" outlineLevel="0" collapsed="false">
      <c r="A61" s="5" t="s">
        <v>139</v>
      </c>
      <c r="B61" s="12" t="s">
        <v>140</v>
      </c>
      <c r="C61" s="17" t="n">
        <v>0.1</v>
      </c>
      <c r="D61" s="5" t="s">
        <v>84</v>
      </c>
      <c r="E61" s="5" t="s">
        <v>127</v>
      </c>
      <c r="F61" s="12" t="s">
        <v>141</v>
      </c>
      <c r="G61" s="5"/>
      <c r="H61" s="14"/>
    </row>
    <row r="62" customFormat="false" ht="15" hidden="false" customHeight="false" outlineLevel="0" collapsed="false">
      <c r="A62" s="10" t="s">
        <v>142</v>
      </c>
      <c r="B62" s="11"/>
      <c r="C62" s="11"/>
      <c r="D62" s="11"/>
      <c r="E62" s="11"/>
      <c r="F62" s="11"/>
      <c r="G62" s="11"/>
      <c r="H62" s="11"/>
    </row>
    <row r="63" customFormat="false" ht="23.85" hidden="false" customHeight="false" outlineLevel="0" collapsed="false">
      <c r="A63" s="5"/>
      <c r="B63" s="12" t="s">
        <v>143</v>
      </c>
      <c r="C63" s="22" t="n">
        <f aca="false">$C$37-$C$43</f>
        <v>0.101962330772101</v>
      </c>
      <c r="D63" s="5" t="s">
        <v>95</v>
      </c>
      <c r="E63" s="5" t="s">
        <v>46</v>
      </c>
      <c r="F63" s="12"/>
      <c r="G63" s="5"/>
      <c r="H63" s="14"/>
    </row>
    <row r="64" customFormat="false" ht="23.85" hidden="false" customHeight="false" outlineLevel="0" collapsed="false">
      <c r="A64" s="5"/>
      <c r="B64" s="12" t="s">
        <v>144</v>
      </c>
      <c r="C64" s="18" t="n">
        <f aca="false">$C$38+$C$39-$C$40-$C$42</f>
        <v>11.1273215656178</v>
      </c>
      <c r="D64" s="5" t="s">
        <v>19</v>
      </c>
      <c r="E64" s="5" t="s">
        <v>46</v>
      </c>
      <c r="F64" s="12"/>
      <c r="G64" s="5"/>
      <c r="H64" s="14"/>
    </row>
    <row r="65" customFormat="false" ht="15" hidden="false" customHeight="false" outlineLevel="0" collapsed="false">
      <c r="A65" s="5"/>
      <c r="B65" s="12" t="s">
        <v>145</v>
      </c>
      <c r="C65" s="18" t="n">
        <f aca="false">$C$44/$C$10</f>
        <v>26.8476592478895</v>
      </c>
      <c r="D65" s="5" t="s">
        <v>19</v>
      </c>
      <c r="E65" s="5" t="s">
        <v>46</v>
      </c>
      <c r="F65" s="12"/>
      <c r="G65" s="5"/>
      <c r="H65" s="14"/>
    </row>
    <row r="66" customFormat="false" ht="15" hidden="false" customHeight="false" outlineLevel="0" collapsed="false">
      <c r="A66" s="5"/>
      <c r="B66" s="12" t="s">
        <v>146</v>
      </c>
      <c r="C66" s="18" t="n">
        <f aca="false">$C$63*$C$9+$C$64-$C$41</f>
        <v>19.7640061396777</v>
      </c>
      <c r="D66" s="5" t="s">
        <v>19</v>
      </c>
      <c r="E66" s="5" t="s">
        <v>46</v>
      </c>
      <c r="F66" s="12"/>
      <c r="G66" s="5"/>
      <c r="H66" s="14"/>
    </row>
    <row r="67" customFormat="false" ht="15" hidden="false" customHeight="false" outlineLevel="0" collapsed="false">
      <c r="A67" s="5"/>
      <c r="B67" s="12" t="s">
        <v>147</v>
      </c>
      <c r="C67" s="18" t="n">
        <f aca="false">$C$66-$C$65</f>
        <v>-7.08365310821181</v>
      </c>
      <c r="D67" s="5" t="s">
        <v>19</v>
      </c>
      <c r="E67" s="5" t="s">
        <v>46</v>
      </c>
      <c r="F67" s="12"/>
      <c r="G67" s="5"/>
      <c r="H67" s="14"/>
    </row>
    <row r="68" customFormat="false" ht="15" hidden="false" customHeight="false" outlineLevel="0" collapsed="false">
      <c r="A68" s="5"/>
      <c r="B68" s="12" t="s">
        <v>148</v>
      </c>
      <c r="C68" s="21" t="n">
        <f aca="false">$C$67*$C$10</f>
        <v>-8443.71450498848</v>
      </c>
      <c r="D68" s="5" t="s">
        <v>105</v>
      </c>
      <c r="E68" s="5" t="s">
        <v>46</v>
      </c>
      <c r="F68" s="12"/>
      <c r="G68" s="5"/>
      <c r="H68" s="14"/>
    </row>
    <row r="69" customFormat="false" ht="15" hidden="false" customHeight="false" outlineLevel="0" collapsed="false">
      <c r="A69" s="10" t="s">
        <v>149</v>
      </c>
      <c r="B69" s="11"/>
      <c r="C69" s="11"/>
      <c r="D69" s="11"/>
      <c r="E69" s="11"/>
      <c r="F69" s="11"/>
      <c r="G69" s="11"/>
      <c r="H69" s="11"/>
    </row>
    <row r="70" customFormat="false" ht="15" hidden="false" customHeight="false" outlineLevel="0" collapsed="false">
      <c r="A70" s="5"/>
      <c r="B70" s="12" t="s">
        <v>150</v>
      </c>
      <c r="C70" s="23" t="str">
        <f aca="false">IF($C$24&gt;=0,"OK","CHECK")</f>
        <v>OK</v>
      </c>
      <c r="D70" s="5"/>
      <c r="E70" s="5" t="s">
        <v>151</v>
      </c>
      <c r="F70" s="12"/>
      <c r="G70" s="5"/>
      <c r="H70" s="14"/>
    </row>
    <row r="71" customFormat="false" ht="15" hidden="false" customHeight="false" outlineLevel="0" collapsed="false">
      <c r="A71" s="5"/>
      <c r="B71" s="12" t="s">
        <v>152</v>
      </c>
      <c r="C71" s="23" t="str">
        <f aca="false">IF($C$29&gt;=0,"OK","CHECK")</f>
        <v>OK</v>
      </c>
      <c r="D71" s="5"/>
      <c r="E71" s="5" t="s">
        <v>151</v>
      </c>
      <c r="F71" s="12"/>
      <c r="G71" s="5"/>
      <c r="H71" s="14"/>
    </row>
    <row r="72" customFormat="false" ht="23.85" hidden="false" customHeight="false" outlineLevel="0" collapsed="false">
      <c r="A72" s="5"/>
      <c r="B72" s="12" t="s">
        <v>153</v>
      </c>
      <c r="C72" s="23" t="str">
        <f aca="false">IF(ABS($C$32)+ABS($C$33)+ABS($C$34)+ABS($C$35)&gt;0,"Levers on: n/a",IF(ABS('Per-order P&amp;L'!$B$19-$C$19)&lt;0.000001,"OK","CHECK"))</f>
        <v>OK</v>
      </c>
      <c r="D72" s="5"/>
      <c r="E72" s="5" t="s">
        <v>151</v>
      </c>
      <c r="F72" s="12"/>
      <c r="G72" s="5"/>
      <c r="H72" s="14"/>
    </row>
    <row r="73" customFormat="false" ht="15" hidden="false" customHeight="false" outlineLevel="0" collapsed="false">
      <c r="A73" s="5"/>
      <c r="B73" s="12" t="s">
        <v>154</v>
      </c>
      <c r="C73" s="23" t="str">
        <f aca="false">IF(ABS('Store daily P&amp;L'!$B$19/'Store daily P&amp;L'!$B$4-'Per-order P&amp;L'!$B$19)&lt;0.000001,"OK","CHECK")</f>
        <v>OK</v>
      </c>
      <c r="D73" s="5"/>
      <c r="E73" s="5" t="s">
        <v>151</v>
      </c>
      <c r="F73" s="12"/>
      <c r="G73" s="5"/>
      <c r="H73" s="14"/>
    </row>
    <row r="74" customFormat="false" ht="15" hidden="false" customHeight="false" outlineLevel="0" collapsed="false">
      <c r="A74" s="5"/>
      <c r="B74" s="12" t="s">
        <v>155</v>
      </c>
      <c r="C74" s="23" t="str">
        <f aca="false">IF(ABS($C$67-$C$19)&lt;0.000001,"OK","CHECK")</f>
        <v>OK</v>
      </c>
      <c r="D74" s="5"/>
      <c r="E74" s="5" t="s">
        <v>151</v>
      </c>
      <c r="F74" s="12"/>
      <c r="G74" s="5"/>
      <c r="H74" s="14"/>
    </row>
    <row r="75" customFormat="false" ht="15" hidden="false" customHeight="false" outlineLevel="0" collapsed="false">
      <c r="A75" s="5"/>
      <c r="B75" s="12" t="s">
        <v>156</v>
      </c>
      <c r="C75" s="23" t="str">
        <f aca="false">IF(ISNUMBER('Break-even'!$B$8),IF(ABS('Break-even'!$B$8*'Break-even'!$B$7-'Break-even'!$B$6)&lt;0.001,"OK","CHECK"),"n/a")</f>
        <v>OK</v>
      </c>
      <c r="D75" s="5"/>
      <c r="E75" s="5" t="s">
        <v>151</v>
      </c>
      <c r="F75" s="12"/>
      <c r="G75" s="5"/>
      <c r="H75" s="14"/>
    </row>
    <row r="76" customFormat="false" ht="15" hidden="false" customHeight="false" outlineLevel="0" collapsed="false">
      <c r="A76" s="5"/>
      <c r="B76" s="12" t="s">
        <v>157</v>
      </c>
      <c r="C76" s="23" t="str">
        <f aca="false">IF(ABS($C$32)+ABS($C$33)+ABS($C$34)+ABS($C$35)&gt;0,"Levers on: n/a",IF(ABS('Lever ranking'!$B$5-'Store daily P&amp;L'!$B$19)&lt;0.001,"OK","CHECK"))</f>
        <v>OK</v>
      </c>
      <c r="D76" s="5"/>
      <c r="E76" s="5" t="s">
        <v>151</v>
      </c>
      <c r="F76" s="12"/>
      <c r="G76" s="5"/>
      <c r="H76" s="14"/>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2"/>
    <col collapsed="false" customWidth="true" hidden="false" outlineLevel="0" max="4" min="4" style="0" width="70"/>
  </cols>
  <sheetData>
    <row r="1" customFormat="false" ht="16.15" hidden="false" customHeight="false" outlineLevel="0" collapsed="false">
      <c r="A1" s="1" t="s">
        <v>158</v>
      </c>
    </row>
    <row r="2" customFormat="false" ht="15" hidden="false" customHeight="false" outlineLevel="0" collapsed="false">
      <c r="A2" s="8" t="s">
        <v>159</v>
      </c>
    </row>
    <row r="3" customFormat="false" ht="105" hidden="false" customHeight="true" outlineLevel="0" collapsed="false">
      <c r="A3" s="24" t="s">
        <v>160</v>
      </c>
      <c r="B3" s="24"/>
      <c r="C3" s="24"/>
      <c r="D3" s="24"/>
    </row>
    <row r="5" customFormat="false" ht="15" hidden="false" customHeight="false" outlineLevel="0" collapsed="false">
      <c r="A5" s="25" t="s">
        <v>161</v>
      </c>
      <c r="B5" s="25" t="s">
        <v>162</v>
      </c>
      <c r="C5" s="25" t="s">
        <v>95</v>
      </c>
      <c r="D5" s="25" t="s">
        <v>163</v>
      </c>
    </row>
    <row r="6" customFormat="false" ht="15" hidden="false" customHeight="false" outlineLevel="0" collapsed="false">
      <c r="A6" s="26" t="s">
        <v>164</v>
      </c>
      <c r="B6" s="27" t="n">
        <f aca="false">Assumptions!$C$46</f>
        <v>506</v>
      </c>
      <c r="C6" s="28" t="n">
        <f aca="false">IF($B$6=0,0,B6/$B$6)</f>
        <v>1</v>
      </c>
      <c r="D6" s="29" t="s">
        <v>165</v>
      </c>
    </row>
    <row r="7" customFormat="false" ht="15" hidden="false" customHeight="false" outlineLevel="0" collapsed="false">
      <c r="A7" s="5" t="s">
        <v>166</v>
      </c>
      <c r="B7" s="30" t="n">
        <f aca="false">-B6*(1-Assumptions!$C$37)</f>
        <v>-445.815809669992</v>
      </c>
      <c r="C7" s="31" t="n">
        <f aca="false">IF($B$6=0,0,B7/$B$6)</f>
        <v>-0.881058912391289</v>
      </c>
      <c r="D7" s="32" t="s">
        <v>167</v>
      </c>
    </row>
    <row r="8" customFormat="false" ht="15" hidden="false" customHeight="false" outlineLevel="0" collapsed="false">
      <c r="A8" s="5" t="s">
        <v>168</v>
      </c>
      <c r="B8" s="30" t="n">
        <f aca="false">B6+B7</f>
        <v>60.1841903300077</v>
      </c>
      <c r="C8" s="31" t="n">
        <f aca="false">IF($B$6=0,0,B8/$B$6)</f>
        <v>0.118941087608711</v>
      </c>
      <c r="D8" s="32" t="s">
        <v>169</v>
      </c>
    </row>
    <row r="9" customFormat="false" ht="15" hidden="false" customHeight="false" outlineLevel="0" collapsed="false">
      <c r="A9" s="5" t="s">
        <v>170</v>
      </c>
      <c r="B9" s="33" t="n">
        <f aca="false">Assumptions!$C$49</f>
        <v>20.0613967766692</v>
      </c>
      <c r="C9" s="31" t="n">
        <f aca="false">IF($B$6=0,0,B9/$B$6)</f>
        <v>0.0396470292029036</v>
      </c>
      <c r="D9" s="32" t="s">
        <v>112</v>
      </c>
    </row>
    <row r="10" customFormat="false" ht="15" hidden="false" customHeight="false" outlineLevel="0" collapsed="false">
      <c r="A10" s="5" t="s">
        <v>171</v>
      </c>
      <c r="B10" s="33" t="n">
        <f aca="false">Assumptions!$C$39</f>
        <v>20.0613967766692</v>
      </c>
      <c r="C10" s="31" t="n">
        <f aca="false">IF($B$6=0,0,B10/$B$6)</f>
        <v>0.0396470292029036</v>
      </c>
      <c r="D10" s="32" t="s">
        <v>98</v>
      </c>
    </row>
    <row r="11" customFormat="false" ht="15" hidden="false" customHeight="false" outlineLevel="0" collapsed="false">
      <c r="A11" s="26" t="s">
        <v>172</v>
      </c>
      <c r="B11" s="34" t="n">
        <f aca="false">B8+B9+B10</f>
        <v>100.306983883346</v>
      </c>
      <c r="C11" s="28" t="n">
        <f aca="false">IF($B$6=0,0,B11/$B$6)</f>
        <v>0.198235146014518</v>
      </c>
      <c r="D11" s="29" t="s">
        <v>173</v>
      </c>
    </row>
    <row r="12" customFormat="false" ht="15" hidden="false" customHeight="false" outlineLevel="0" collapsed="false">
      <c r="A12" s="5" t="s">
        <v>174</v>
      </c>
      <c r="B12" s="30" t="n">
        <f aca="false">-Assumptions!$C$40</f>
        <v>-12.886876438987</v>
      </c>
      <c r="C12" s="31" t="n">
        <f aca="false">IF($B$6=0,0,B12/$B$6)</f>
        <v>-0.0254681352549149</v>
      </c>
      <c r="D12" s="32"/>
    </row>
    <row r="13" customFormat="false" ht="15" hidden="false" customHeight="false" outlineLevel="0" collapsed="false">
      <c r="A13" s="26" t="s">
        <v>175</v>
      </c>
      <c r="B13" s="34" t="n">
        <f aca="false">B11+B12</f>
        <v>87.4201074443592</v>
      </c>
      <c r="C13" s="28" t="n">
        <f aca="false">IF($B$6=0,0,B13/$B$6)</f>
        <v>0.172767010759603</v>
      </c>
      <c r="D13" s="29" t="s">
        <v>176</v>
      </c>
    </row>
    <row r="14" customFormat="false" ht="15" hidden="false" customHeight="false" outlineLevel="0" collapsed="false">
      <c r="A14" s="5" t="s">
        <v>177</v>
      </c>
      <c r="B14" s="30" t="n">
        <f aca="false">-Assumptions!$C$42</f>
        <v>-16.1085955487337</v>
      </c>
      <c r="C14" s="31" t="n">
        <f aca="false">IF($B$6=0,0,B14/$B$6)</f>
        <v>-0.0318351690686437</v>
      </c>
      <c r="D14" s="32"/>
    </row>
    <row r="15" customFormat="false" ht="15" hidden="false" customHeight="false" outlineLevel="0" collapsed="false">
      <c r="A15" s="5" t="s">
        <v>178</v>
      </c>
      <c r="B15" s="30" t="n">
        <f aca="false">-Assumptions!$C$48</f>
        <v>-42.9562547966232</v>
      </c>
      <c r="C15" s="31" t="n">
        <f aca="false">IF($B$6=0,0,B15/$B$6)</f>
        <v>-0.0848937841830497</v>
      </c>
      <c r="D15" s="32" t="s">
        <v>111</v>
      </c>
    </row>
    <row r="16" customFormat="false" ht="15" hidden="false" customHeight="false" outlineLevel="0" collapsed="false">
      <c r="A16" s="5" t="s">
        <v>179</v>
      </c>
      <c r="B16" s="30" t="n">
        <f aca="false">-B6*Assumptions!$C$43</f>
        <v>-8.59125095932463</v>
      </c>
      <c r="C16" s="31" t="n">
        <f aca="false">IF($B$6=0,0,B16/$B$6)</f>
        <v>-0.01697875683661</v>
      </c>
      <c r="D16" s="32" t="s">
        <v>180</v>
      </c>
    </row>
    <row r="17" customFormat="false" ht="15" hidden="false" customHeight="false" outlineLevel="0" collapsed="false">
      <c r="A17" s="26" t="s">
        <v>181</v>
      </c>
      <c r="B17" s="34" t="n">
        <f aca="false">B13+B14+B15+B16</f>
        <v>19.7640061396777</v>
      </c>
      <c r="C17" s="28" t="n">
        <f aca="false">IF($B$6=0,0,B17/$B$6)</f>
        <v>0.0390593006712997</v>
      </c>
      <c r="D17" s="29" t="s">
        <v>182</v>
      </c>
    </row>
    <row r="18" customFormat="false" ht="15" hidden="false" customHeight="false" outlineLevel="0" collapsed="false">
      <c r="A18" s="5" t="s">
        <v>183</v>
      </c>
      <c r="B18" s="30" t="n">
        <f aca="false">IF(Assumptions!$C$47=0,0,-Assumptions!$C$44/Assumptions!$C$47)</f>
        <v>-26.8476592478895</v>
      </c>
      <c r="C18" s="31" t="n">
        <f aca="false">IF($B$6=0,0,B18/$B$6)</f>
        <v>-0.0530586151144061</v>
      </c>
      <c r="D18" s="32" t="s">
        <v>184</v>
      </c>
    </row>
    <row r="19" customFormat="false" ht="15" hidden="false" customHeight="false" outlineLevel="0" collapsed="false">
      <c r="A19" s="26" t="s">
        <v>185</v>
      </c>
      <c r="B19" s="34" t="n">
        <f aca="false">B17+B18</f>
        <v>-7.08365310821181</v>
      </c>
      <c r="C19" s="28" t="n">
        <f aca="false">IF($B$6=0,0,B19/$B$6)</f>
        <v>-0.0139993144431063</v>
      </c>
      <c r="D19" s="29" t="s">
        <v>186</v>
      </c>
    </row>
    <row r="21" customFormat="false" ht="15" hidden="false" customHeight="false" outlineLevel="0" collapsed="false">
      <c r="A21" s="3" t="s">
        <v>187</v>
      </c>
    </row>
    <row r="22" customFormat="false" ht="15" hidden="false" customHeight="false" outlineLevel="0" collapsed="false">
      <c r="A22" s="5" t="s">
        <v>188</v>
      </c>
      <c r="B22" s="33" t="n">
        <f aca="false">Assumptions!$C$19</f>
        <v>-7.08365310821182</v>
      </c>
    </row>
    <row r="23" customFormat="false" ht="15" hidden="false" customHeight="false" outlineLevel="0" collapsed="false">
      <c r="A23" s="5" t="s">
        <v>189</v>
      </c>
      <c r="B23" s="30" t="n">
        <f aca="false">B19-B22</f>
        <v>0</v>
      </c>
      <c r="D23" s="32" t="s">
        <v>190</v>
      </c>
    </row>
    <row r="24" customFormat="false" ht="15" hidden="false" customHeight="false" outlineLevel="0" collapsed="false">
      <c r="A24" s="5" t="s">
        <v>191</v>
      </c>
      <c r="B24" s="33" t="n">
        <f aca="false">Assumptions!$C$15</f>
        <v>30</v>
      </c>
    </row>
    <row r="25" customFormat="false" ht="15" hidden="false" customHeight="false" outlineLevel="0" collapsed="false">
      <c r="A25" s="5" t="s">
        <v>192</v>
      </c>
      <c r="B25" s="30" t="n">
        <f aca="false">B19-B24</f>
        <v>-37.0836531082118</v>
      </c>
      <c r="D25" s="32" t="s">
        <v>193</v>
      </c>
    </row>
    <row r="26" customFormat="false" ht="15" hidden="false" customHeight="false" outlineLevel="0" collapsed="false">
      <c r="A26" s="5" t="s">
        <v>194</v>
      </c>
      <c r="B26" s="33" t="n">
        <f aca="false">Assumptions!$C$51</f>
        <v>28</v>
      </c>
    </row>
  </sheetData>
  <mergeCells count="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62"/>
  </cols>
  <sheetData>
    <row r="1" customFormat="false" ht="16.15" hidden="false" customHeight="false" outlineLevel="0" collapsed="false">
      <c r="A1" s="1" t="s">
        <v>195</v>
      </c>
    </row>
    <row r="2" customFormat="false" ht="15" hidden="false" customHeight="false" outlineLevel="0" collapsed="false">
      <c r="A2" s="8" t="s">
        <v>196</v>
      </c>
    </row>
    <row r="4" customFormat="false" ht="15" hidden="false" customHeight="false" outlineLevel="0" collapsed="false">
      <c r="A4" s="3" t="s">
        <v>197</v>
      </c>
      <c r="B4" s="35" t="n">
        <f aca="false">Assumptions!$C$47</f>
        <v>1192</v>
      </c>
      <c r="C4" s="36" t="n">
        <f aca="false">B4*Assumptions!$C$30</f>
        <v>35760</v>
      </c>
    </row>
    <row r="5" customFormat="false" ht="15" hidden="false" customHeight="false" outlineLevel="0" collapsed="false">
      <c r="A5" s="25" t="s">
        <v>161</v>
      </c>
      <c r="B5" s="25" t="s">
        <v>198</v>
      </c>
      <c r="C5" s="25" t="s">
        <v>199</v>
      </c>
      <c r="D5" s="25" t="s">
        <v>163</v>
      </c>
    </row>
    <row r="6" customFormat="false" ht="15" hidden="false" customHeight="false" outlineLevel="0" collapsed="false">
      <c r="A6" s="26" t="s">
        <v>164</v>
      </c>
      <c r="B6" s="37" t="n">
        <f aca="false">$B$4*'Per-order P&amp;L'!B6</f>
        <v>603152</v>
      </c>
      <c r="C6" s="37" t="n">
        <f aca="false">B6*Assumptions!$C$30</f>
        <v>18094560</v>
      </c>
      <c r="D6" s="29" t="s">
        <v>200</v>
      </c>
    </row>
    <row r="7" customFormat="false" ht="15" hidden="false" customHeight="false" outlineLevel="0" collapsed="false">
      <c r="A7" s="5" t="s">
        <v>166</v>
      </c>
      <c r="B7" s="38" t="n">
        <f aca="false">$B$4*'Per-order P&amp;L'!B7</f>
        <v>-531412.445126631</v>
      </c>
      <c r="C7" s="38" t="n">
        <f aca="false">B7*Assumptions!$C$30</f>
        <v>-15942373.3537989</v>
      </c>
      <c r="D7" s="32" t="s">
        <v>201</v>
      </c>
    </row>
    <row r="8" customFormat="false" ht="15" hidden="false" customHeight="false" outlineLevel="0" collapsed="false">
      <c r="A8" s="5" t="s">
        <v>168</v>
      </c>
      <c r="B8" s="38" t="n">
        <f aca="false">$B$4*'Per-order P&amp;L'!B8</f>
        <v>71739.5548733691</v>
      </c>
      <c r="C8" s="38" t="n">
        <f aca="false">B8*Assumptions!$C$30</f>
        <v>2152186.64620107</v>
      </c>
      <c r="D8" s="32" t="s">
        <v>202</v>
      </c>
    </row>
    <row r="9" customFormat="false" ht="15" hidden="false" customHeight="false" outlineLevel="0" collapsed="false">
      <c r="A9" s="5" t="s">
        <v>170</v>
      </c>
      <c r="B9" s="38" t="n">
        <f aca="false">$B$4*'Per-order P&amp;L'!B9</f>
        <v>23913.1849577897</v>
      </c>
      <c r="C9" s="38" t="n">
        <f aca="false">B9*Assumptions!$C$30</f>
        <v>717395.548733692</v>
      </c>
      <c r="D9" s="32" t="s">
        <v>203</v>
      </c>
    </row>
    <row r="10" customFormat="false" ht="15" hidden="false" customHeight="false" outlineLevel="0" collapsed="false">
      <c r="A10" s="5" t="s">
        <v>171</v>
      </c>
      <c r="B10" s="38" t="n">
        <f aca="false">$B$4*'Per-order P&amp;L'!B10</f>
        <v>23913.1849577897</v>
      </c>
      <c r="C10" s="38" t="n">
        <f aca="false">B10*Assumptions!$C$30</f>
        <v>717395.548733692</v>
      </c>
      <c r="D10" s="32" t="s">
        <v>204</v>
      </c>
    </row>
    <row r="11" customFormat="false" ht="15" hidden="false" customHeight="false" outlineLevel="0" collapsed="false">
      <c r="A11" s="26" t="s">
        <v>172</v>
      </c>
      <c r="B11" s="37" t="n">
        <f aca="false">$B$4*'Per-order P&amp;L'!B11</f>
        <v>119565.924788949</v>
      </c>
      <c r="C11" s="37" t="n">
        <f aca="false">B11*Assumptions!$C$30</f>
        <v>3586977.74366846</v>
      </c>
      <c r="D11" s="29" t="s">
        <v>205</v>
      </c>
    </row>
    <row r="12" customFormat="false" ht="15" hidden="false" customHeight="false" outlineLevel="0" collapsed="false">
      <c r="A12" s="5" t="s">
        <v>174</v>
      </c>
      <c r="B12" s="38" t="n">
        <f aca="false">$B$4*'Per-order P&amp;L'!B12</f>
        <v>-15361.1567152724</v>
      </c>
      <c r="C12" s="38" t="n">
        <f aca="false">B12*Assumptions!$C$30</f>
        <v>-460834.701458173</v>
      </c>
      <c r="D12" s="32" t="s">
        <v>206</v>
      </c>
    </row>
    <row r="13" customFormat="false" ht="15" hidden="false" customHeight="false" outlineLevel="0" collapsed="false">
      <c r="A13" s="26" t="s">
        <v>175</v>
      </c>
      <c r="B13" s="37" t="n">
        <f aca="false">$B$4*'Per-order P&amp;L'!B13</f>
        <v>104204.768073676</v>
      </c>
      <c r="C13" s="37" t="n">
        <f aca="false">B13*Assumptions!$C$30</f>
        <v>3126143.04221028</v>
      </c>
      <c r="D13" s="29" t="s">
        <v>207</v>
      </c>
    </row>
    <row r="14" customFormat="false" ht="15" hidden="false" customHeight="false" outlineLevel="0" collapsed="false">
      <c r="A14" s="5" t="s">
        <v>177</v>
      </c>
      <c r="B14" s="38" t="n">
        <f aca="false">$B$4*'Per-order P&amp;L'!B14</f>
        <v>-19201.4458940906</v>
      </c>
      <c r="C14" s="38" t="n">
        <f aca="false">B14*Assumptions!$C$30</f>
        <v>-576043.376822717</v>
      </c>
      <c r="D14" s="32" t="s">
        <v>208</v>
      </c>
    </row>
    <row r="15" customFormat="false" ht="15" hidden="false" customHeight="false" outlineLevel="0" collapsed="false">
      <c r="A15" s="5" t="s">
        <v>178</v>
      </c>
      <c r="B15" s="38" t="n">
        <f aca="false">$B$4*'Per-order P&amp;L'!B15</f>
        <v>-51203.8557175748</v>
      </c>
      <c r="C15" s="38" t="n">
        <f aca="false">B15*Assumptions!$C$30</f>
        <v>-1536115.67152724</v>
      </c>
      <c r="D15" s="32" t="s">
        <v>209</v>
      </c>
    </row>
    <row r="16" customFormat="false" ht="15" hidden="false" customHeight="false" outlineLevel="0" collapsed="false">
      <c r="A16" s="5" t="s">
        <v>179</v>
      </c>
      <c r="B16" s="38" t="n">
        <f aca="false">$B$4*'Per-order P&amp;L'!B16</f>
        <v>-10240.771143515</v>
      </c>
      <c r="C16" s="38" t="n">
        <f aca="false">B16*Assumptions!$C$30</f>
        <v>-307223.134305449</v>
      </c>
      <c r="D16" s="32" t="s">
        <v>210</v>
      </c>
    </row>
    <row r="17" customFormat="false" ht="15" hidden="false" customHeight="false" outlineLevel="0" collapsed="false">
      <c r="A17" s="26" t="s">
        <v>181</v>
      </c>
      <c r="B17" s="37" t="n">
        <f aca="false">$B$4*'Per-order P&amp;L'!B17</f>
        <v>23558.6953184958</v>
      </c>
      <c r="C17" s="37" t="n">
        <f aca="false">B17*Assumptions!$C$30</f>
        <v>706760.859554873</v>
      </c>
      <c r="D17" s="29" t="s">
        <v>211</v>
      </c>
    </row>
    <row r="18" customFormat="false" ht="15" hidden="false" customHeight="false" outlineLevel="0" collapsed="false">
      <c r="A18" s="5" t="s">
        <v>212</v>
      </c>
      <c r="B18" s="38" t="n">
        <f aca="false">-Assumptions!$C$44</f>
        <v>-32002.4098234843</v>
      </c>
      <c r="C18" s="38" t="n">
        <f aca="false">B18*Assumptions!$C$30</f>
        <v>-960072.294704528</v>
      </c>
      <c r="D18" s="32" t="s">
        <v>213</v>
      </c>
    </row>
    <row r="19" customFormat="false" ht="15" hidden="false" customHeight="false" outlineLevel="0" collapsed="false">
      <c r="A19" s="26" t="s">
        <v>185</v>
      </c>
      <c r="B19" s="37" t="n">
        <f aca="false">$B$4*'Per-order P&amp;L'!B19</f>
        <v>-8443.71450498847</v>
      </c>
      <c r="C19" s="37" t="n">
        <f aca="false">B19*Assumptions!$C$30</f>
        <v>-253311.435149654</v>
      </c>
      <c r="D19" s="29" t="s">
        <v>214</v>
      </c>
    </row>
    <row r="21" customFormat="false" ht="15" hidden="false" customHeight="false" outlineLevel="0" collapsed="false">
      <c r="A21" s="3" t="s">
        <v>187</v>
      </c>
    </row>
    <row r="22" customFormat="false" ht="15" hidden="false" customHeight="false" outlineLevel="0" collapsed="false">
      <c r="A22" s="5" t="s">
        <v>215</v>
      </c>
      <c r="B22" s="30" t="n">
        <f aca="false">IF(B4=0,0,B19/B4)</f>
        <v>-7.08365310821181</v>
      </c>
    </row>
    <row r="23" customFormat="false" ht="15" hidden="false" customHeight="false" outlineLevel="0" collapsed="false">
      <c r="A23" s="5" t="s">
        <v>216</v>
      </c>
      <c r="B23" s="30" t="n">
        <f aca="false">B22-'Per-order P&amp;L'!B19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24"/>
    <col collapsed="false" customWidth="true" hidden="false" outlineLevel="0" max="4" min="4" style="0" width="16"/>
    <col collapsed="false" customWidth="true" hidden="false" outlineLevel="0" max="5" min="5" style="0" width="12"/>
    <col collapsed="false" customWidth="true" hidden="false" outlineLevel="0" max="6" min="6" style="0" width="14"/>
  </cols>
  <sheetData>
    <row r="1" customFormat="false" ht="16.15" hidden="false" customHeight="false" outlineLevel="0" collapsed="false">
      <c r="A1" s="1" t="s">
        <v>217</v>
      </c>
    </row>
    <row r="2" customFormat="false" ht="15" hidden="false" customHeight="false" outlineLevel="0" collapsed="false">
      <c r="A2" s="8" t="s">
        <v>218</v>
      </c>
    </row>
    <row r="4" customFormat="false" ht="15" hidden="false" customHeight="false" outlineLevel="0" collapsed="false">
      <c r="A4" s="3" t="s">
        <v>219</v>
      </c>
    </row>
    <row r="5" customFormat="false" ht="15" hidden="false" customHeight="false" outlineLevel="0" collapsed="false">
      <c r="A5" s="39" t="s">
        <v>9</v>
      </c>
      <c r="B5" s="40" t="s">
        <v>10</v>
      </c>
      <c r="C5" s="40" t="s">
        <v>220</v>
      </c>
    </row>
    <row r="6" customFormat="false" ht="15" hidden="false" customHeight="false" outlineLevel="0" collapsed="false">
      <c r="A6" s="5" t="s">
        <v>104</v>
      </c>
      <c r="B6" s="41" t="n">
        <f aca="false">Assumptions!$C$44</f>
        <v>32002.4098234843</v>
      </c>
      <c r="C6" s="32" t="s">
        <v>105</v>
      </c>
    </row>
    <row r="7" customFormat="false" ht="15" hidden="false" customHeight="false" outlineLevel="0" collapsed="false">
      <c r="A7" s="5" t="s">
        <v>146</v>
      </c>
      <c r="B7" s="42" t="n">
        <f aca="false">Assumptions!$C$66</f>
        <v>19.7640061396777</v>
      </c>
      <c r="C7" s="32" t="s">
        <v>221</v>
      </c>
    </row>
    <row r="8" customFormat="false" ht="15" hidden="false" customHeight="false" outlineLevel="0" collapsed="false">
      <c r="A8" s="43" t="s">
        <v>222</v>
      </c>
      <c r="B8" s="44" t="n">
        <f aca="false">IF(B7&lt;=0,"No break-even: CM2 is not positive",B6/B7)</f>
        <v>1619.22687117756</v>
      </c>
      <c r="C8" s="29" t="s">
        <v>223</v>
      </c>
    </row>
    <row r="9" customFormat="false" ht="15" hidden="false" customHeight="false" outlineLevel="0" collapsed="false">
      <c r="A9" s="5" t="s">
        <v>224</v>
      </c>
      <c r="B9" s="41" t="n">
        <f aca="false">Assumptions!$C$10</f>
        <v>1192</v>
      </c>
      <c r="C9" s="32" t="s">
        <v>225</v>
      </c>
    </row>
    <row r="10" customFormat="false" ht="15" hidden="false" customHeight="false" outlineLevel="0" collapsed="false">
      <c r="A10" s="5" t="s">
        <v>226</v>
      </c>
      <c r="B10" s="21" t="n">
        <f aca="false">IF(ISNUMBER(B8),B8-B9,"n/a")</f>
        <v>427.226871177555</v>
      </c>
      <c r="C10" s="32"/>
    </row>
    <row r="11" customFormat="false" ht="15" hidden="false" customHeight="false" outlineLevel="0" collapsed="false">
      <c r="A11" s="5" t="s">
        <v>227</v>
      </c>
      <c r="B11" s="45" t="n">
        <f aca="false">IF(ISNUMBER(B8),IF(B9=0,0,B8/B9-1),"n/a")</f>
        <v>0.358411804679157</v>
      </c>
      <c r="C11" s="32"/>
    </row>
    <row r="12" customFormat="false" ht="15" hidden="false" customHeight="false" outlineLevel="0" collapsed="false">
      <c r="A12" s="5" t="s">
        <v>228</v>
      </c>
      <c r="B12" s="41" t="n">
        <f aca="false">Assumptions!$C$53</f>
        <v>1718</v>
      </c>
      <c r="C12" s="32" t="s">
        <v>229</v>
      </c>
    </row>
    <row r="13" customFormat="false" ht="15" hidden="false" customHeight="false" outlineLevel="0" collapsed="false">
      <c r="A13" s="5" t="s">
        <v>230</v>
      </c>
      <c r="B13" s="21" t="n">
        <f aca="false">IF(ISNUMBER(B8),B8-B12,"n/a")</f>
        <v>-98.7731288224447</v>
      </c>
      <c r="C13" s="32" t="s">
        <v>231</v>
      </c>
    </row>
    <row r="15" customFormat="false" ht="15" hidden="false" customHeight="false" outlineLevel="0" collapsed="false">
      <c r="A15" s="3" t="s">
        <v>232</v>
      </c>
    </row>
    <row r="16" customFormat="false" ht="15" hidden="false" customHeight="false" outlineLevel="0" collapsed="false">
      <c r="A16" s="39" t="s">
        <v>233</v>
      </c>
      <c r="B16" s="40" t="s">
        <v>234</v>
      </c>
      <c r="C16" s="40" t="s">
        <v>235</v>
      </c>
      <c r="D16" s="40" t="s">
        <v>236</v>
      </c>
      <c r="E16" s="40" t="s">
        <v>84</v>
      </c>
      <c r="F16" s="40" t="s">
        <v>11</v>
      </c>
    </row>
    <row r="17" customFormat="false" ht="15" hidden="false" customHeight="false" outlineLevel="0" collapsed="false">
      <c r="A17" s="5" t="s">
        <v>237</v>
      </c>
      <c r="B17" s="42" t="n">
        <f aca="false">Assumptions!$C$9</f>
        <v>506</v>
      </c>
      <c r="C17" s="18" t="n">
        <f aca="false">IF(Assumptions!$C$63&lt;=0,"n/a",B17-Assumptions!$C$67/Assumptions!$C$63)</f>
        <v>575.473236386139</v>
      </c>
      <c r="D17" s="18" t="n">
        <f aca="false">IF(ISNUMBER(C17),C17-B17,"n/a")</f>
        <v>69.4732363861385</v>
      </c>
      <c r="E17" s="45" t="n">
        <f aca="false">IF(ISNUMBER(C17),IF(B17=0,0,C17/B17-1),"n/a")</f>
        <v>0.137298886138614</v>
      </c>
      <c r="F17" s="14" t="s">
        <v>19</v>
      </c>
    </row>
    <row r="18" customFormat="false" ht="15" hidden="false" customHeight="false" outlineLevel="0" collapsed="false">
      <c r="A18" s="5" t="s">
        <v>197</v>
      </c>
      <c r="B18" s="41" t="n">
        <f aca="false">Assumptions!$C$10</f>
        <v>1192</v>
      </c>
      <c r="C18" s="21" t="n">
        <f aca="false">B8</f>
        <v>1619.22687117756</v>
      </c>
      <c r="D18" s="21" t="n">
        <f aca="false">IF(ISNUMBER(C18),C18-B18,"n/a")</f>
        <v>427.226871177555</v>
      </c>
      <c r="E18" s="45" t="n">
        <f aca="false">IF(ISNUMBER(C18),IF(B18=0,0,C18/B18-1),"n/a")</f>
        <v>0.358411804679157</v>
      </c>
      <c r="F18" s="14" t="s">
        <v>110</v>
      </c>
    </row>
    <row r="19" customFormat="false" ht="15" hidden="false" customHeight="false" outlineLevel="0" collapsed="false">
      <c r="A19" s="5" t="s">
        <v>238</v>
      </c>
      <c r="B19" s="42" t="n">
        <f aca="false">Assumptions!$C$41</f>
        <v>42.9562547966232</v>
      </c>
      <c r="C19" s="18" t="n">
        <f aca="false">B19+Assumptions!$C$67</f>
        <v>35.8726016884114</v>
      </c>
      <c r="D19" s="18" t="n">
        <f aca="false">IF(ISNUMBER(C19),C19-B19,"n/a")</f>
        <v>-7.08365310821181</v>
      </c>
      <c r="E19" s="45" t="n">
        <f aca="false">IF(ISNUMBER(C19),IF(B19=0,0,C19/B19-1),"n/a")</f>
        <v>-0.164903880511684</v>
      </c>
      <c r="F19" s="14" t="s">
        <v>19</v>
      </c>
    </row>
    <row r="20" customFormat="false" ht="15" hidden="false" customHeight="false" outlineLevel="0" collapsed="false">
      <c r="A20" s="5" t="s">
        <v>239</v>
      </c>
      <c r="B20" s="42" t="n">
        <f aca="false">Assumptions!$C$38</f>
        <v>20.0613967766692</v>
      </c>
      <c r="C20" s="18" t="n">
        <f aca="false">B20-Assumptions!$C$67</f>
        <v>27.145049884881</v>
      </c>
      <c r="D20" s="18" t="n">
        <f aca="false">IF(ISNUMBER(C20),C20-B20,"n/a")</f>
        <v>7.08365310821181</v>
      </c>
      <c r="E20" s="45" t="n">
        <f aca="false">IF(ISNUMBER(C20),IF(B20=0,0,C20/B20-1),"n/a")</f>
        <v>0.3530986993114</v>
      </c>
      <c r="F20" s="14" t="s">
        <v>19</v>
      </c>
    </row>
    <row r="22" customFormat="false" ht="15" hidden="false" customHeight="false" outlineLevel="0" collapsed="false">
      <c r="A22" s="32" t="s">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9" min="3" style="0" width="12"/>
  </cols>
  <sheetData>
    <row r="1" customFormat="false" ht="16.15" hidden="false" customHeight="false" outlineLevel="0" collapsed="false">
      <c r="A1" s="1" t="s">
        <v>241</v>
      </c>
    </row>
    <row r="2" customFormat="false" ht="15" hidden="false" customHeight="false" outlineLevel="0" collapsed="false">
      <c r="A2" s="8" t="s">
        <v>242</v>
      </c>
    </row>
    <row r="4" customFormat="false" ht="15" hidden="false" customHeight="false" outlineLevel="0" collapsed="false">
      <c r="A4" s="3" t="s">
        <v>243</v>
      </c>
    </row>
    <row r="5" customFormat="false" ht="15" hidden="false" customHeight="false" outlineLevel="0" collapsed="false">
      <c r="A5" s="3" t="s">
        <v>244</v>
      </c>
      <c r="B5" s="3" t="s">
        <v>245</v>
      </c>
      <c r="C5" s="46" t="n">
        <f aca="false">Assumptions!$C$57</f>
        <v>-0.2</v>
      </c>
      <c r="D5" s="46" t="n">
        <f aca="false">C5+Assumptions!$C$58</f>
        <v>-0.1</v>
      </c>
      <c r="E5" s="46" t="n">
        <f aca="false">D5+Assumptions!$C$58</f>
        <v>0</v>
      </c>
      <c r="F5" s="46" t="n">
        <f aca="false">E5+Assumptions!$C$58</f>
        <v>0.1</v>
      </c>
      <c r="G5" s="46" t="n">
        <f aca="false">F5+Assumptions!$C$58</f>
        <v>0.2</v>
      </c>
      <c r="H5" s="46" t="n">
        <f aca="false">G5+Assumptions!$C$58</f>
        <v>0.3</v>
      </c>
      <c r="I5" s="46" t="n">
        <f aca="false">H5+Assumptions!$C$58</f>
        <v>0.4</v>
      </c>
    </row>
    <row r="6" customFormat="false" ht="15" hidden="false" customHeight="false" outlineLevel="0" collapsed="false">
      <c r="B6" s="3" t="s">
        <v>197</v>
      </c>
      <c r="C6" s="47" t="n">
        <f aca="false">Assumptions!$C$10*(1+C5)</f>
        <v>953.6</v>
      </c>
      <c r="D6" s="47" t="n">
        <f aca="false">Assumptions!$C$10*(1+D5)</f>
        <v>1072.8</v>
      </c>
      <c r="E6" s="47" t="n">
        <f aca="false">Assumptions!$C$10*(1+E5)</f>
        <v>1192</v>
      </c>
      <c r="F6" s="47" t="n">
        <f aca="false">Assumptions!$C$10*(1+F5)</f>
        <v>1311.2</v>
      </c>
      <c r="G6" s="47" t="n">
        <f aca="false">Assumptions!$C$10*(1+G5)</f>
        <v>1430.4</v>
      </c>
      <c r="H6" s="47" t="n">
        <f aca="false">Assumptions!$C$10*(1+H5)</f>
        <v>1549.6</v>
      </c>
      <c r="I6" s="47" t="n">
        <f aca="false">Assumptions!$C$10*(1+I5)</f>
        <v>1668.8</v>
      </c>
    </row>
    <row r="7" customFormat="false" ht="15" hidden="false" customHeight="false" outlineLevel="0" collapsed="false">
      <c r="A7" s="46" t="n">
        <f aca="false">Assumptions!$C$55</f>
        <v>-0.1</v>
      </c>
      <c r="B7" s="48" t="n">
        <f aca="false">Assumptions!$C$9*(1+A7)</f>
        <v>455.4</v>
      </c>
      <c r="C7" s="38" t="n">
        <f aca="false">C$6*(Assumptions!$C$63*$B7+Assumptions!$C$64-Assumptions!$C$41)-Assumptions!$C$44</f>
        <v>-18075.356267076</v>
      </c>
      <c r="D7" s="38" t="n">
        <f aca="false">D$6*(Assumptions!$C$63*$B7+Assumptions!$C$64-Assumptions!$C$41)-Assumptions!$C$44</f>
        <v>-16334.4745725249</v>
      </c>
      <c r="E7" s="38" t="n">
        <f aca="false">E$6*(Assumptions!$C$63*$B7+Assumptions!$C$64-Assumptions!$C$41)-Assumptions!$C$44</f>
        <v>-14593.5928779739</v>
      </c>
      <c r="F7" s="38" t="n">
        <f aca="false">F$6*(Assumptions!$C$63*$B7+Assumptions!$C$64-Assumptions!$C$41)-Assumptions!$C$44</f>
        <v>-12852.7111834229</v>
      </c>
      <c r="G7" s="38" t="n">
        <f aca="false">G$6*(Assumptions!$C$63*$B7+Assumptions!$C$64-Assumptions!$C$41)-Assumptions!$C$44</f>
        <v>-11111.8294888718</v>
      </c>
      <c r="H7" s="38" t="n">
        <f aca="false">H$6*(Assumptions!$C$63*$B7+Assumptions!$C$64-Assumptions!$C$41)-Assumptions!$C$44</f>
        <v>-9370.94779432078</v>
      </c>
      <c r="I7" s="38" t="n">
        <f aca="false">I$6*(Assumptions!$C$63*$B7+Assumptions!$C$64-Assumptions!$C$41)-Assumptions!$C$44</f>
        <v>-7630.06609976975</v>
      </c>
    </row>
    <row r="8" customFormat="false" ht="15" hidden="false" customHeight="false" outlineLevel="0" collapsed="false">
      <c r="A8" s="46" t="n">
        <f aca="false">A7+Assumptions!$C$56</f>
        <v>-0.05</v>
      </c>
      <c r="B8" s="48" t="n">
        <f aca="false">Assumptions!$C$9*(1+A8)</f>
        <v>480.7</v>
      </c>
      <c r="C8" s="38" t="n">
        <f aca="false">C$6*(Assumptions!$C$63*$B8+Assumptions!$C$64-Assumptions!$C$41)-Assumptions!$C$44</f>
        <v>-15615.4049178818</v>
      </c>
      <c r="D8" s="38" t="n">
        <f aca="false">D$6*(Assumptions!$C$63*$B8+Assumptions!$C$64-Assumptions!$C$41)-Assumptions!$C$44</f>
        <v>-13567.0293046815</v>
      </c>
      <c r="E8" s="38" t="n">
        <f aca="false">E$6*(Assumptions!$C$63*$B8+Assumptions!$C$64-Assumptions!$C$41)-Assumptions!$C$44</f>
        <v>-11518.6536914812</v>
      </c>
      <c r="F8" s="38" t="n">
        <f aca="false">F$6*(Assumptions!$C$63*$B8+Assumptions!$C$64-Assumptions!$C$41)-Assumptions!$C$44</f>
        <v>-9470.27807828088</v>
      </c>
      <c r="G8" s="38" t="n">
        <f aca="false">G$6*(Assumptions!$C$63*$B8+Assumptions!$C$64-Assumptions!$C$41)-Assumptions!$C$44</f>
        <v>-7421.90246508058</v>
      </c>
      <c r="H8" s="38" t="n">
        <f aca="false">H$6*(Assumptions!$C$63*$B8+Assumptions!$C$64-Assumptions!$C$41)-Assumptions!$C$44</f>
        <v>-5373.52685188026</v>
      </c>
      <c r="I8" s="38" t="n">
        <f aca="false">I$6*(Assumptions!$C$63*$B8+Assumptions!$C$64-Assumptions!$C$41)-Assumptions!$C$44</f>
        <v>-3325.15123867996</v>
      </c>
    </row>
    <row r="9" customFormat="false" ht="15" hidden="false" customHeight="false" outlineLevel="0" collapsed="false">
      <c r="A9" s="46" t="n">
        <f aca="false">A8+Assumptions!$C$56</f>
        <v>0</v>
      </c>
      <c r="B9" s="48" t="n">
        <f aca="false">Assumptions!$C$9*(1+A9)</f>
        <v>506</v>
      </c>
      <c r="C9" s="38" t="n">
        <f aca="false">C$6*(Assumptions!$C$63*$B9+Assumptions!$C$64-Assumptions!$C$41)-Assumptions!$C$44</f>
        <v>-13155.4535686876</v>
      </c>
      <c r="D9" s="38" t="n">
        <f aca="false">D$6*(Assumptions!$C$63*$B9+Assumptions!$C$64-Assumptions!$C$41)-Assumptions!$C$44</f>
        <v>-10799.5840368381</v>
      </c>
      <c r="E9" s="38" t="n">
        <f aca="false">E$6*(Assumptions!$C$63*$B9+Assumptions!$C$64-Assumptions!$C$41)-Assumptions!$C$44</f>
        <v>-8443.71450498848</v>
      </c>
      <c r="F9" s="38" t="n">
        <f aca="false">F$6*(Assumptions!$C$63*$B9+Assumptions!$C$64-Assumptions!$C$41)-Assumptions!$C$44</f>
        <v>-6087.8449731389</v>
      </c>
      <c r="G9" s="38" t="n">
        <f aca="false">G$6*(Assumptions!$C$63*$B9+Assumptions!$C$64-Assumptions!$C$41)-Assumptions!$C$44</f>
        <v>-3731.97544128933</v>
      </c>
      <c r="H9" s="38" t="n">
        <f aca="false">H$6*(Assumptions!$C$63*$B9+Assumptions!$C$64-Assumptions!$C$41)-Assumptions!$C$44</f>
        <v>-1376.10590943975</v>
      </c>
      <c r="I9" s="38" t="n">
        <f aca="false">I$6*(Assumptions!$C$63*$B9+Assumptions!$C$64-Assumptions!$C$41)-Assumptions!$C$44</f>
        <v>979.763622409824</v>
      </c>
    </row>
    <row r="10" customFormat="false" ht="15" hidden="false" customHeight="false" outlineLevel="0" collapsed="false">
      <c r="A10" s="46" t="n">
        <f aca="false">A9+Assumptions!$C$56</f>
        <v>0.05</v>
      </c>
      <c r="B10" s="48" t="n">
        <f aca="false">Assumptions!$C$9*(1+A10)</f>
        <v>531.3</v>
      </c>
      <c r="C10" s="38" t="n">
        <f aca="false">C$6*(Assumptions!$C$63*$B10+Assumptions!$C$64-Assumptions!$C$41)-Assumptions!$C$44</f>
        <v>-10695.5022194935</v>
      </c>
      <c r="D10" s="38" t="n">
        <f aca="false">D$6*(Assumptions!$C$63*$B10+Assumptions!$C$64-Assumptions!$C$41)-Assumptions!$C$44</f>
        <v>-8032.13876899462</v>
      </c>
      <c r="E10" s="38" t="n">
        <f aca="false">E$6*(Assumptions!$C$63*$B10+Assumptions!$C$64-Assumptions!$C$41)-Assumptions!$C$44</f>
        <v>-5368.77531849578</v>
      </c>
      <c r="F10" s="38" t="n">
        <f aca="false">F$6*(Assumptions!$C$63*$B10+Assumptions!$C$64-Assumptions!$C$41)-Assumptions!$C$44</f>
        <v>-2705.41186799693</v>
      </c>
      <c r="G10" s="38" t="n">
        <f aca="false">G$6*(Assumptions!$C$63*$B10+Assumptions!$C$64-Assumptions!$C$41)-Assumptions!$C$44</f>
        <v>-42.0484174980811</v>
      </c>
      <c r="H10" s="38" t="n">
        <f aca="false">H$6*(Assumptions!$C$63*$B10+Assumptions!$C$64-Assumptions!$C$41)-Assumptions!$C$44</f>
        <v>2621.31503300077</v>
      </c>
      <c r="I10" s="38" t="n">
        <f aca="false">I$6*(Assumptions!$C$63*$B10+Assumptions!$C$64-Assumptions!$C$41)-Assumptions!$C$44</f>
        <v>5284.67848349961</v>
      </c>
    </row>
    <row r="11" customFormat="false" ht="15" hidden="false" customHeight="false" outlineLevel="0" collapsed="false">
      <c r="A11" s="46" t="n">
        <f aca="false">A10+Assumptions!$C$56</f>
        <v>0.1</v>
      </c>
      <c r="B11" s="48" t="n">
        <f aca="false">Assumptions!$C$9*(1+A11)</f>
        <v>556.6</v>
      </c>
      <c r="C11" s="38" t="n">
        <f aca="false">C$6*(Assumptions!$C$63*$B11+Assumptions!$C$64-Assumptions!$C$41)-Assumptions!$C$44</f>
        <v>-8235.55087029931</v>
      </c>
      <c r="D11" s="38" t="n">
        <f aca="false">D$6*(Assumptions!$C$63*$B11+Assumptions!$C$64-Assumptions!$C$41)-Assumptions!$C$44</f>
        <v>-5264.69350115119</v>
      </c>
      <c r="E11" s="38" t="n">
        <f aca="false">E$6*(Assumptions!$C$63*$B11+Assumptions!$C$64-Assumptions!$C$41)-Assumptions!$C$44</f>
        <v>-2293.83613200307</v>
      </c>
      <c r="F11" s="38" t="n">
        <f aca="false">F$6*(Assumptions!$C$63*$B11+Assumptions!$C$64-Assumptions!$C$41)-Assumptions!$C$44</f>
        <v>677.021237145051</v>
      </c>
      <c r="G11" s="38" t="n">
        <f aca="false">G$6*(Assumptions!$C$63*$B11+Assumptions!$C$64-Assumptions!$C$41)-Assumptions!$C$44</f>
        <v>3647.87860629316</v>
      </c>
      <c r="H11" s="38" t="n">
        <f aca="false">H$6*(Assumptions!$C$63*$B11+Assumptions!$C$64-Assumptions!$C$41)-Assumptions!$C$44</f>
        <v>6618.73597544129</v>
      </c>
      <c r="I11" s="38" t="n">
        <f aca="false">I$6*(Assumptions!$C$63*$B11+Assumptions!$C$64-Assumptions!$C$41)-Assumptions!$C$44</f>
        <v>9589.5933445894</v>
      </c>
    </row>
    <row r="12" customFormat="false" ht="15" hidden="false" customHeight="false" outlineLevel="0" collapsed="false">
      <c r="A12" s="46" t="n">
        <f aca="false">A11+Assumptions!$C$56</f>
        <v>0.15</v>
      </c>
      <c r="B12" s="48" t="n">
        <f aca="false">Assumptions!$C$9*(1+A12)</f>
        <v>581.9</v>
      </c>
      <c r="C12" s="38" t="n">
        <f aca="false">C$6*(Assumptions!$C$63*$B12+Assumptions!$C$64-Assumptions!$C$41)-Assumptions!$C$44</f>
        <v>-5775.59952110514</v>
      </c>
      <c r="D12" s="38" t="n">
        <f aca="false">D$6*(Assumptions!$C$63*$B12+Assumptions!$C$64-Assumptions!$C$41)-Assumptions!$C$44</f>
        <v>-2497.24823330775</v>
      </c>
      <c r="E12" s="38" t="n">
        <f aca="false">E$6*(Assumptions!$C$63*$B12+Assumptions!$C$64-Assumptions!$C$41)-Assumptions!$C$44</f>
        <v>781.103054489635</v>
      </c>
      <c r="F12" s="38" t="n">
        <f aca="false">F$6*(Assumptions!$C$63*$B12+Assumptions!$C$64-Assumptions!$C$41)-Assumptions!$C$44</f>
        <v>4059.45434228703</v>
      </c>
      <c r="G12" s="38" t="n">
        <f aca="false">G$6*(Assumptions!$C$63*$B12+Assumptions!$C$64-Assumptions!$C$41)-Assumptions!$C$44</f>
        <v>7337.80563008441</v>
      </c>
      <c r="H12" s="38" t="n">
        <f aca="false">H$6*(Assumptions!$C$63*$B12+Assumptions!$C$64-Assumptions!$C$41)-Assumptions!$C$44</f>
        <v>10616.1569178818</v>
      </c>
      <c r="I12" s="38" t="n">
        <f aca="false">I$6*(Assumptions!$C$63*$B12+Assumptions!$C$64-Assumptions!$C$41)-Assumptions!$C$44</f>
        <v>13894.5082056792</v>
      </c>
    </row>
    <row r="13" customFormat="false" ht="15" hidden="false" customHeight="false" outlineLevel="0" collapsed="false">
      <c r="A13" s="46" t="n">
        <f aca="false">A12+Assumptions!$C$56</f>
        <v>0.2</v>
      </c>
      <c r="B13" s="48" t="n">
        <f aca="false">Assumptions!$C$9*(1+A13)</f>
        <v>607.2</v>
      </c>
      <c r="C13" s="38" t="n">
        <f aca="false">C$6*(Assumptions!$C$63*$B13+Assumptions!$C$64-Assumptions!$C$41)-Assumptions!$C$44</f>
        <v>-3315.64817191098</v>
      </c>
      <c r="D13" s="38" t="n">
        <f aca="false">D$6*(Assumptions!$C$63*$B13+Assumptions!$C$64-Assumptions!$C$41)-Assumptions!$C$44</f>
        <v>270.197034535682</v>
      </c>
      <c r="E13" s="38" t="n">
        <f aca="false">E$6*(Assumptions!$C$63*$B13+Assumptions!$C$64-Assumptions!$C$41)-Assumptions!$C$44</f>
        <v>3856.04224098234</v>
      </c>
      <c r="F13" s="38" t="n">
        <f aca="false">F$6*(Assumptions!$C$63*$B13+Assumptions!$C$64-Assumptions!$C$41)-Assumptions!$C$44</f>
        <v>7441.88744742901</v>
      </c>
      <c r="G13" s="38" t="n">
        <f aca="false">G$6*(Assumptions!$C$63*$B13+Assumptions!$C$64-Assumptions!$C$41)-Assumptions!$C$44</f>
        <v>11027.7326538757</v>
      </c>
      <c r="H13" s="38" t="n">
        <f aca="false">H$6*(Assumptions!$C$63*$B13+Assumptions!$C$64-Assumptions!$C$41)-Assumptions!$C$44</f>
        <v>14613.5778603223</v>
      </c>
      <c r="I13" s="38" t="n">
        <f aca="false">I$6*(Assumptions!$C$63*$B13+Assumptions!$C$64-Assumptions!$C$41)-Assumptions!$C$44</f>
        <v>18199.423066769</v>
      </c>
    </row>
    <row r="16" customFormat="false" ht="15" hidden="false" customHeight="false" outlineLevel="0" collapsed="false">
      <c r="A16" s="3" t="s">
        <v>246</v>
      </c>
    </row>
    <row r="17" customFormat="false" ht="15" hidden="false" customHeight="false" outlineLevel="0" collapsed="false">
      <c r="A17" s="3" t="s">
        <v>247</v>
      </c>
      <c r="B17" s="3" t="s">
        <v>248</v>
      </c>
      <c r="C17" s="46" t="n">
        <f aca="false">Assumptions!$C$55</f>
        <v>-0.1</v>
      </c>
      <c r="D17" s="46" t="n">
        <f aca="false">C17+Assumptions!$C$56</f>
        <v>-0.05</v>
      </c>
      <c r="E17" s="46" t="n">
        <f aca="false">D17+Assumptions!$C$56</f>
        <v>0</v>
      </c>
      <c r="F17" s="46" t="n">
        <f aca="false">E17+Assumptions!$C$56</f>
        <v>0.05</v>
      </c>
      <c r="G17" s="46" t="n">
        <f aca="false">F17+Assumptions!$C$56</f>
        <v>0.1</v>
      </c>
      <c r="H17" s="46" t="n">
        <f aca="false">G17+Assumptions!$C$56</f>
        <v>0.15</v>
      </c>
      <c r="I17" s="46" t="n">
        <f aca="false">H17+Assumptions!$C$56</f>
        <v>0.2</v>
      </c>
    </row>
    <row r="18" customFormat="false" ht="15" hidden="false" customHeight="false" outlineLevel="0" collapsed="false">
      <c r="B18" s="3" t="s">
        <v>245</v>
      </c>
      <c r="C18" s="49" t="n">
        <f aca="false">Assumptions!$C$9*(1+C17)</f>
        <v>455.4</v>
      </c>
      <c r="D18" s="49" t="n">
        <f aca="false">Assumptions!$C$9*(1+D17)</f>
        <v>480.7</v>
      </c>
      <c r="E18" s="49" t="n">
        <f aca="false">Assumptions!$C$9*(1+E17)</f>
        <v>506</v>
      </c>
      <c r="F18" s="49" t="n">
        <f aca="false">Assumptions!$C$9*(1+F17)</f>
        <v>531.3</v>
      </c>
      <c r="G18" s="49" t="n">
        <f aca="false">Assumptions!$C$9*(1+G17)</f>
        <v>556.6</v>
      </c>
      <c r="H18" s="49" t="n">
        <f aca="false">Assumptions!$C$9*(1+H17)</f>
        <v>581.9</v>
      </c>
      <c r="I18" s="49" t="n">
        <f aca="false">Assumptions!$C$9*(1+I17)</f>
        <v>607.2</v>
      </c>
    </row>
    <row r="19" customFormat="false" ht="15" hidden="false" customHeight="false" outlineLevel="0" collapsed="false">
      <c r="A19" s="46" t="n">
        <f aca="false">Assumptions!$C$59</f>
        <v>-0.3</v>
      </c>
      <c r="B19" s="48" t="n">
        <f aca="false">Assumptions!$C$41*(1+A19)</f>
        <v>30.0693783576362</v>
      </c>
      <c r="C19" s="38" t="n">
        <f aca="false">Assumptions!$C$10*(Assumptions!$C$63*C$18+Assumptions!$C$64-$B19)-Assumptions!$C$44</f>
        <v>767.563837298556</v>
      </c>
      <c r="D19" s="38" t="n">
        <f aca="false">Assumptions!$C$10*(Assumptions!$C$63*D$18+Assumptions!$C$64-$B19)-Assumptions!$C$44</f>
        <v>3842.50302379126</v>
      </c>
      <c r="E19" s="38" t="n">
        <f aca="false">Assumptions!$C$10*(Assumptions!$C$63*E$18+Assumptions!$C$64-$B19)-Assumptions!$C$44</f>
        <v>6917.44221028397</v>
      </c>
      <c r="F19" s="38" t="n">
        <f aca="false">Assumptions!$C$10*(Assumptions!$C$63*F$18+Assumptions!$C$64-$B19)-Assumptions!$C$44</f>
        <v>9992.38139677668</v>
      </c>
      <c r="G19" s="38" t="n">
        <f aca="false">Assumptions!$C$10*(Assumptions!$C$63*G$18+Assumptions!$C$64-$B19)-Assumptions!$C$44</f>
        <v>13067.3205832694</v>
      </c>
      <c r="H19" s="38" t="n">
        <f aca="false">Assumptions!$C$10*(Assumptions!$C$63*H$18+Assumptions!$C$64-$B19)-Assumptions!$C$44</f>
        <v>16142.2597697621</v>
      </c>
      <c r="I19" s="38" t="n">
        <f aca="false">Assumptions!$C$10*(Assumptions!$C$63*I$18+Assumptions!$C$64-$B19)-Assumptions!$C$44</f>
        <v>19217.1989562548</v>
      </c>
    </row>
    <row r="20" customFormat="false" ht="15" hidden="false" customHeight="false" outlineLevel="0" collapsed="false">
      <c r="A20" s="46" t="n">
        <f aca="false">A19+Assumptions!$C$60</f>
        <v>-0.2</v>
      </c>
      <c r="B20" s="48" t="n">
        <f aca="false">Assumptions!$C$41*(1+A20)</f>
        <v>34.3650038372985</v>
      </c>
      <c r="C20" s="38" t="n">
        <f aca="false">Assumptions!$C$10*(Assumptions!$C$63*C$18+Assumptions!$C$64-$B20)-Assumptions!$C$44</f>
        <v>-4352.82173445893</v>
      </c>
      <c r="D20" s="38" t="n">
        <f aca="false">Assumptions!$C$10*(Assumptions!$C$63*D$18+Assumptions!$C$64-$B20)-Assumptions!$C$44</f>
        <v>-1277.88254796622</v>
      </c>
      <c r="E20" s="38" t="n">
        <f aca="false">Assumptions!$C$10*(Assumptions!$C$63*E$18+Assumptions!$C$64-$B20)-Assumptions!$C$44</f>
        <v>1797.05663852648</v>
      </c>
      <c r="F20" s="38" t="n">
        <f aca="false">Assumptions!$C$10*(Assumptions!$C$63*F$18+Assumptions!$C$64-$B20)-Assumptions!$C$44</f>
        <v>4871.99582501919</v>
      </c>
      <c r="G20" s="38" t="n">
        <f aca="false">Assumptions!$C$10*(Assumptions!$C$63*G$18+Assumptions!$C$64-$B20)-Assumptions!$C$44</f>
        <v>7946.93501151189</v>
      </c>
      <c r="H20" s="38" t="n">
        <f aca="false">Assumptions!$C$10*(Assumptions!$C$63*H$18+Assumptions!$C$64-$B20)-Assumptions!$C$44</f>
        <v>11021.8741980046</v>
      </c>
      <c r="I20" s="38" t="n">
        <f aca="false">Assumptions!$C$10*(Assumptions!$C$63*I$18+Assumptions!$C$64-$B20)-Assumptions!$C$44</f>
        <v>14096.8133844973</v>
      </c>
    </row>
    <row r="21" customFormat="false" ht="15" hidden="false" customHeight="false" outlineLevel="0" collapsed="false">
      <c r="A21" s="46" t="n">
        <f aca="false">A20+Assumptions!$C$60</f>
        <v>-0.1</v>
      </c>
      <c r="B21" s="48" t="n">
        <f aca="false">Assumptions!$C$41*(1+A21)</f>
        <v>38.6606293169609</v>
      </c>
      <c r="C21" s="38" t="n">
        <f aca="false">Assumptions!$C$10*(Assumptions!$C$63*C$18+Assumptions!$C$64-$B21)-Assumptions!$C$44</f>
        <v>-9473.20730621642</v>
      </c>
      <c r="D21" s="38" t="n">
        <f aca="false">Assumptions!$C$10*(Assumptions!$C$63*D$18+Assumptions!$C$64-$B21)-Assumptions!$C$44</f>
        <v>-6398.26811972371</v>
      </c>
      <c r="E21" s="38" t="n">
        <f aca="false">Assumptions!$C$10*(Assumptions!$C$63*E$18+Assumptions!$C$64-$B21)-Assumptions!$C$44</f>
        <v>-3323.32893323101</v>
      </c>
      <c r="F21" s="38" t="n">
        <f aca="false">Assumptions!$C$10*(Assumptions!$C$63*F$18+Assumptions!$C$64-$B21)-Assumptions!$C$44</f>
        <v>-248.389746738299</v>
      </c>
      <c r="G21" s="38" t="n">
        <f aca="false">Assumptions!$C$10*(Assumptions!$C$63*G$18+Assumptions!$C$64-$B21)-Assumptions!$C$44</f>
        <v>2826.54943975441</v>
      </c>
      <c r="H21" s="38" t="n">
        <f aca="false">Assumptions!$C$10*(Assumptions!$C$63*H$18+Assumptions!$C$64-$B21)-Assumptions!$C$44</f>
        <v>5901.48862624711</v>
      </c>
      <c r="I21" s="38" t="n">
        <f aca="false">Assumptions!$C$10*(Assumptions!$C$63*I$18+Assumptions!$C$64-$B21)-Assumptions!$C$44</f>
        <v>8976.42781273982</v>
      </c>
    </row>
    <row r="22" customFormat="false" ht="15" hidden="false" customHeight="false" outlineLevel="0" collapsed="false">
      <c r="A22" s="46" t="n">
        <f aca="false">A21+Assumptions!$C$60</f>
        <v>0</v>
      </c>
      <c r="B22" s="48" t="n">
        <f aca="false">Assumptions!$C$41*(1+A22)</f>
        <v>42.9562547966232</v>
      </c>
      <c r="C22" s="38" t="n">
        <f aca="false">Assumptions!$C$10*(Assumptions!$C$63*C$18+Assumptions!$C$64-$B22)-Assumptions!$C$44</f>
        <v>-14593.5928779739</v>
      </c>
      <c r="D22" s="38" t="n">
        <f aca="false">Assumptions!$C$10*(Assumptions!$C$63*D$18+Assumptions!$C$64-$B22)-Assumptions!$C$44</f>
        <v>-11518.6536914812</v>
      </c>
      <c r="E22" s="38" t="n">
        <f aca="false">Assumptions!$C$10*(Assumptions!$C$63*E$18+Assumptions!$C$64-$B22)-Assumptions!$C$44</f>
        <v>-8443.71450498848</v>
      </c>
      <c r="F22" s="38" t="n">
        <f aca="false">Assumptions!$C$10*(Assumptions!$C$63*F$18+Assumptions!$C$64-$B22)-Assumptions!$C$44</f>
        <v>-5368.77531849578</v>
      </c>
      <c r="G22" s="38" t="n">
        <f aca="false">Assumptions!$C$10*(Assumptions!$C$63*G$18+Assumptions!$C$64-$B22)-Assumptions!$C$44</f>
        <v>-2293.83613200307</v>
      </c>
      <c r="H22" s="38" t="n">
        <f aca="false">Assumptions!$C$10*(Assumptions!$C$63*H$18+Assumptions!$C$64-$B22)-Assumptions!$C$44</f>
        <v>781.103054489635</v>
      </c>
      <c r="I22" s="38" t="n">
        <f aca="false">Assumptions!$C$10*(Assumptions!$C$63*I$18+Assumptions!$C$64-$B22)-Assumptions!$C$44</f>
        <v>3856.04224098234</v>
      </c>
    </row>
    <row r="23" customFormat="false" ht="15" hidden="false" customHeight="false" outlineLevel="0" collapsed="false">
      <c r="A23" s="46" t="n">
        <f aca="false">A22+Assumptions!$C$60</f>
        <v>0.1</v>
      </c>
      <c r="B23" s="48" t="n">
        <f aca="false">Assumptions!$C$41*(1+A23)</f>
        <v>47.2518802762855</v>
      </c>
      <c r="C23" s="38" t="n">
        <f aca="false">Assumptions!$C$10*(Assumptions!$C$63*C$18+Assumptions!$C$64-$B23)-Assumptions!$C$44</f>
        <v>-19713.9784497314</v>
      </c>
      <c r="D23" s="38" t="n">
        <f aca="false">Assumptions!$C$10*(Assumptions!$C$63*D$18+Assumptions!$C$64-$B23)-Assumptions!$C$44</f>
        <v>-16639.0392632387</v>
      </c>
      <c r="E23" s="38" t="n">
        <f aca="false">Assumptions!$C$10*(Assumptions!$C$63*E$18+Assumptions!$C$64-$B23)-Assumptions!$C$44</f>
        <v>-13564.100076746</v>
      </c>
      <c r="F23" s="38" t="n">
        <f aca="false">Assumptions!$C$10*(Assumptions!$C$63*F$18+Assumptions!$C$64-$B23)-Assumptions!$C$44</f>
        <v>-10489.1608902533</v>
      </c>
      <c r="G23" s="38" t="n">
        <f aca="false">Assumptions!$C$10*(Assumptions!$C$63*G$18+Assumptions!$C$64-$B23)-Assumptions!$C$44</f>
        <v>-7414.22170376056</v>
      </c>
      <c r="H23" s="38" t="n">
        <f aca="false">Assumptions!$C$10*(Assumptions!$C$63*H$18+Assumptions!$C$64-$B23)-Assumptions!$C$44</f>
        <v>-4339.28251726785</v>
      </c>
      <c r="I23" s="38" t="n">
        <f aca="false">Assumptions!$C$10*(Assumptions!$C$63*I$18+Assumptions!$C$64-$B23)-Assumptions!$C$44</f>
        <v>-1264.34333077514</v>
      </c>
    </row>
    <row r="24" customFormat="false" ht="15" hidden="false" customHeight="false" outlineLevel="0" collapsed="false">
      <c r="A24" s="46" t="n">
        <f aca="false">A23+Assumptions!$C$60</f>
        <v>0.2</v>
      </c>
      <c r="B24" s="48" t="n">
        <f aca="false">Assumptions!$C$41*(1+A24)</f>
        <v>51.5475057559478</v>
      </c>
      <c r="C24" s="38" t="n">
        <f aca="false">Assumptions!$C$10*(Assumptions!$C$63*C$18+Assumptions!$C$64-$B24)-Assumptions!$C$44</f>
        <v>-24834.3640214889</v>
      </c>
      <c r="D24" s="38" t="n">
        <f aca="false">Assumptions!$C$10*(Assumptions!$C$63*D$18+Assumptions!$C$64-$B24)-Assumptions!$C$44</f>
        <v>-21759.4248349962</v>
      </c>
      <c r="E24" s="38" t="n">
        <f aca="false">Assumptions!$C$10*(Assumptions!$C$63*E$18+Assumptions!$C$64-$B24)-Assumptions!$C$44</f>
        <v>-18684.4856485034</v>
      </c>
      <c r="F24" s="38" t="n">
        <f aca="false">Assumptions!$C$10*(Assumptions!$C$63*F$18+Assumptions!$C$64-$B24)-Assumptions!$C$44</f>
        <v>-15609.5464620107</v>
      </c>
      <c r="G24" s="38" t="n">
        <f aca="false">Assumptions!$C$10*(Assumptions!$C$63*G$18+Assumptions!$C$64-$B24)-Assumptions!$C$44</f>
        <v>-12534.607275518</v>
      </c>
      <c r="H24" s="38" t="n">
        <f aca="false">Assumptions!$C$10*(Assumptions!$C$63*H$18+Assumptions!$C$64-$B24)-Assumptions!$C$44</f>
        <v>-9459.66808902533</v>
      </c>
      <c r="I24" s="38" t="n">
        <f aca="false">Assumptions!$C$10*(Assumptions!$C$63*I$18+Assumptions!$C$64-$B24)-Assumptions!$C$44</f>
        <v>-6384.72890253262</v>
      </c>
    </row>
    <row r="25" customFormat="false" ht="15" hidden="false" customHeight="false" outlineLevel="0" collapsed="false">
      <c r="A25" s="46" t="n">
        <f aca="false">A24+Assumptions!$C$60</f>
        <v>0.3</v>
      </c>
      <c r="B25" s="48" t="n">
        <f aca="false">Assumptions!$C$41*(1+A25)</f>
        <v>55.8431312356101</v>
      </c>
      <c r="C25" s="38" t="n">
        <f aca="false">Assumptions!$C$10*(Assumptions!$C$63*C$18+Assumptions!$C$64-$B25)-Assumptions!$C$44</f>
        <v>-29954.7495932463</v>
      </c>
      <c r="D25" s="38" t="n">
        <f aca="false">Assumptions!$C$10*(Assumptions!$C$63*D$18+Assumptions!$C$64-$B25)-Assumptions!$C$44</f>
        <v>-26879.8104067536</v>
      </c>
      <c r="E25" s="38" t="n">
        <f aca="false">Assumptions!$C$10*(Assumptions!$C$63*E$18+Assumptions!$C$64-$B25)-Assumptions!$C$44</f>
        <v>-23804.8712202609</v>
      </c>
      <c r="F25" s="38" t="n">
        <f aca="false">Assumptions!$C$10*(Assumptions!$C$63*F$18+Assumptions!$C$64-$B25)-Assumptions!$C$44</f>
        <v>-20729.9320337682</v>
      </c>
      <c r="G25" s="38" t="n">
        <f aca="false">Assumptions!$C$10*(Assumptions!$C$63*G$18+Assumptions!$C$64-$B25)-Assumptions!$C$44</f>
        <v>-17654.9928472755</v>
      </c>
      <c r="H25" s="38" t="n">
        <f aca="false">Assumptions!$C$10*(Assumptions!$C$63*H$18+Assumptions!$C$64-$B25)-Assumptions!$C$44</f>
        <v>-14580.0536607828</v>
      </c>
      <c r="I25" s="38" t="n">
        <f aca="false">Assumptions!$C$10*(Assumptions!$C$63*I$18+Assumptions!$C$64-$B25)-Assumptions!$C$44</f>
        <v>-11505.1144742901</v>
      </c>
    </row>
  </sheetData>
  <conditionalFormatting sqref="C7:I13">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C19:I25">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2"/>
    <col collapsed="false" customWidth="true" hidden="false" outlineLevel="0" max="4" min="4" style="0" width="18"/>
    <col collapsed="false" customWidth="true" hidden="false" outlineLevel="0" max="5" min="5" style="0" width="20"/>
    <col collapsed="false" customWidth="true" hidden="false" outlineLevel="0" max="6" min="6" style="0" width="22"/>
    <col collapsed="false" customWidth="true" hidden="false" outlineLevel="0" max="7" min="7" style="0" width="8"/>
  </cols>
  <sheetData>
    <row r="1" customFormat="false" ht="16.15" hidden="false" customHeight="false" outlineLevel="0" collapsed="false">
      <c r="A1" s="1" t="s">
        <v>249</v>
      </c>
    </row>
    <row r="2" customFormat="false" ht="15" hidden="false" customHeight="false" outlineLevel="0" collapsed="false">
      <c r="A2" s="8" t="s">
        <v>250</v>
      </c>
    </row>
    <row r="4" customFormat="false" ht="15" hidden="false" customHeight="false" outlineLevel="0" collapsed="false">
      <c r="A4" s="5" t="s">
        <v>251</v>
      </c>
      <c r="B4" s="50" t="n">
        <f aca="false">Assumptions!$C$61</f>
        <v>0.1</v>
      </c>
    </row>
    <row r="5" customFormat="false" ht="15" hidden="false" customHeight="false" outlineLevel="0" collapsed="false">
      <c r="A5" s="5" t="s">
        <v>252</v>
      </c>
      <c r="B5" s="51" t="n">
        <f aca="false">Assumptions!$C$68</f>
        <v>-8443.71450498848</v>
      </c>
    </row>
    <row r="7" customFormat="false" ht="45" hidden="false" customHeight="true" outlineLevel="0" collapsed="false">
      <c r="A7" s="39" t="s">
        <v>233</v>
      </c>
      <c r="B7" s="40" t="s">
        <v>253</v>
      </c>
      <c r="C7" s="40" t="s">
        <v>254</v>
      </c>
      <c r="D7" s="40" t="s">
        <v>255</v>
      </c>
      <c r="E7" s="40" t="s">
        <v>256</v>
      </c>
      <c r="F7" s="40" t="s">
        <v>257</v>
      </c>
      <c r="G7" s="40" t="s">
        <v>258</v>
      </c>
    </row>
    <row r="8" customFormat="false" ht="15" hidden="false" customHeight="false" outlineLevel="0" collapsed="false">
      <c r="A8" s="5" t="s">
        <v>259</v>
      </c>
      <c r="B8" s="52" t="n">
        <f aca="false">B$4</f>
        <v>0.1</v>
      </c>
      <c r="C8" s="38" t="n">
        <f aca="false">Assumptions!$C$10*(Assumptions!$C$63*Assumptions!$C$9*(1+B8)+Assumptions!$C$64-Assumptions!$C$41)-Assumptions!$C$44</f>
        <v>-2293.83613200307</v>
      </c>
      <c r="D8" s="38" t="n">
        <f aca="false">C8-$B$5</f>
        <v>6149.87837298541</v>
      </c>
      <c r="E8" s="45" t="n">
        <f aca="false">IF($B$5&gt;=0,"n/a",D8/-$B$5)</f>
        <v>0.728338028169014</v>
      </c>
      <c r="F8" s="30" t="n">
        <f aca="false">C8/Assumptions!$C$10</f>
        <v>-1.92435917114351</v>
      </c>
      <c r="G8" s="53" t="n">
        <f aca="false">RANK(D8,$D$8:$D$11)+COUNTIF($D$7:D7,D8)</f>
        <v>1</v>
      </c>
    </row>
    <row r="9" customFormat="false" ht="15" hidden="false" customHeight="false" outlineLevel="0" collapsed="false">
      <c r="A9" s="5" t="s">
        <v>260</v>
      </c>
      <c r="B9" s="52" t="n">
        <f aca="false">B$4</f>
        <v>0.1</v>
      </c>
      <c r="C9" s="38" t="n">
        <f aca="false">Assumptions!$C$10*(1+B9)*(Assumptions!$C$63*Assumptions!$C$9+Assumptions!$C$64-Assumptions!$C$41)-Assumptions!$C$44</f>
        <v>-6087.8449731389</v>
      </c>
      <c r="D9" s="38" t="n">
        <f aca="false">C9-$B$5</f>
        <v>2355.86953184958</v>
      </c>
      <c r="E9" s="45" t="n">
        <f aca="false">IF($B$5&gt;=0,"n/a",D9/-$B$5)</f>
        <v>0.27900866738895</v>
      </c>
      <c r="F9" s="30" t="n">
        <f aca="false">C9/(Assumptions!$C$10*(1+B9))</f>
        <v>-4.64295681294913</v>
      </c>
      <c r="G9" s="53" t="n">
        <f aca="false">RANK(D9,$D$8:$D$11)+COUNTIF($D$7:D8,D9)</f>
        <v>4</v>
      </c>
    </row>
    <row r="10" customFormat="false" ht="15" hidden="false" customHeight="false" outlineLevel="0" collapsed="false">
      <c r="A10" s="5" t="s">
        <v>261</v>
      </c>
      <c r="B10" s="52" t="n">
        <f aca="false">-B$4</f>
        <v>-0.1</v>
      </c>
      <c r="C10" s="38" t="n">
        <f aca="false">Assumptions!$C$10*(Assumptions!$C$63*Assumptions!$C$9+Assumptions!$C$64-Assumptions!$C$41*(1+B10))-Assumptions!$C$44</f>
        <v>-3323.32893323101</v>
      </c>
      <c r="D10" s="38" t="n">
        <f aca="false">C10-$B$5</f>
        <v>5120.38557175748</v>
      </c>
      <c r="E10" s="45" t="n">
        <f aca="false">IF($B$5&gt;=0,"n/a",D10/-$B$5)</f>
        <v>0.606413867822318</v>
      </c>
      <c r="F10" s="30" t="n">
        <f aca="false">C10/Assumptions!$C$10</f>
        <v>-2.7880276285495</v>
      </c>
      <c r="G10" s="53" t="n">
        <f aca="false">RANK(D10,$D$8:$D$11)+COUNTIF($D$7:D9,D10)</f>
        <v>2</v>
      </c>
    </row>
    <row r="11" customFormat="false" ht="15" hidden="false" customHeight="false" outlineLevel="0" collapsed="false">
      <c r="A11" s="5" t="s">
        <v>262</v>
      </c>
      <c r="B11" s="52" t="n">
        <f aca="false">B$4</f>
        <v>0.1</v>
      </c>
      <c r="C11" s="38" t="n">
        <f aca="false">Assumptions!$C$10*(Assumptions!$C$63*Assumptions!$C$9+Assumptions!$C$64+Assumptions!$C$38*B11-Assumptions!$C$41)-Assumptions!$C$44</f>
        <v>-6052.39600920951</v>
      </c>
      <c r="D11" s="38" t="n">
        <f aca="false">C11-$B$5</f>
        <v>2391.31849577897</v>
      </c>
      <c r="E11" s="45" t="n">
        <f aca="false">IF($B$5&gt;=0,"n/a",D11/-$B$5)</f>
        <v>0.28320693391116</v>
      </c>
      <c r="F11" s="30" t="n">
        <f aca="false">C11/Assumptions!$C$10</f>
        <v>-5.07751343054489</v>
      </c>
      <c r="G11" s="53" t="n">
        <f aca="false">RANK(D11,$D$8:$D$11)+COUNTIF($D$7:D10,D11)</f>
        <v>3</v>
      </c>
    </row>
    <row r="13" customFormat="false" ht="15" hidden="false" customHeight="false" outlineLevel="0" collapsed="false">
      <c r="A13" s="3" t="s">
        <v>263</v>
      </c>
    </row>
    <row r="14" customFormat="false" ht="23.85" hidden="false" customHeight="false" outlineLevel="0" collapsed="false">
      <c r="A14" s="39" t="s">
        <v>258</v>
      </c>
      <c r="B14" s="40" t="s">
        <v>233</v>
      </c>
      <c r="C14" s="40" t="s">
        <v>255</v>
      </c>
      <c r="D14" s="40" t="s">
        <v>256</v>
      </c>
    </row>
    <row r="15" customFormat="false" ht="15" hidden="false" customHeight="false" outlineLevel="0" collapsed="false">
      <c r="A15" s="54" t="n">
        <f aca="false">ROWS($A$15:A15)</f>
        <v>1</v>
      </c>
      <c r="B15" s="5" t="str">
        <f aca="false">INDEX($A$8:$A$11,MATCH(A15,$G$8:$G$11,0))</f>
        <v>Order value up</v>
      </c>
      <c r="C15" s="38" t="n">
        <f aca="false">INDEX($D$8:$D$11,MATCH(A15,$G$8:$G$11,0))</f>
        <v>6149.87837298541</v>
      </c>
      <c r="D15" s="45" t="n">
        <f aca="false">INDEX($E$8:$E$11,MATCH(A15,$G$8:$G$11,0))</f>
        <v>0.728338028169014</v>
      </c>
    </row>
    <row r="16" customFormat="false" ht="15" hidden="false" customHeight="false" outlineLevel="0" collapsed="false">
      <c r="A16" s="54" t="n">
        <f aca="false">ROWS($A$15:A16)</f>
        <v>2</v>
      </c>
      <c r="B16" s="5" t="str">
        <f aca="false">INDEX($A$8:$A$11,MATCH(A16,$G$8:$G$11,0))</f>
        <v>Delivery cost per order down</v>
      </c>
      <c r="C16" s="38" t="n">
        <f aca="false">INDEX($D$8:$D$11,MATCH(A16,$G$8:$G$11,0))</f>
        <v>5120.38557175748</v>
      </c>
      <c r="D16" s="45" t="n">
        <f aca="false">INDEX($E$8:$E$11,MATCH(A16,$G$8:$G$11,0))</f>
        <v>0.606413867822318</v>
      </c>
    </row>
    <row r="17" customFormat="false" ht="15" hidden="false" customHeight="false" outlineLevel="0" collapsed="false">
      <c r="A17" s="54" t="n">
        <f aca="false">ROWS($A$15:A17)</f>
        <v>3</v>
      </c>
      <c r="B17" s="5" t="str">
        <f aca="false">INDEX($A$8:$A$11,MATCH(A17,$G$8:$G$11,0))</f>
        <v>Ad income per order up</v>
      </c>
      <c r="C17" s="38" t="n">
        <f aca="false">INDEX($D$8:$D$11,MATCH(A17,$G$8:$G$11,0))</f>
        <v>2391.31849577897</v>
      </c>
      <c r="D17" s="45" t="n">
        <f aca="false">INDEX($E$8:$E$11,MATCH(A17,$G$8:$G$11,0))</f>
        <v>0.28320693391116</v>
      </c>
    </row>
    <row r="18" customFormat="false" ht="15" hidden="false" customHeight="false" outlineLevel="0" collapsed="false">
      <c r="A18" s="54" t="n">
        <f aca="false">ROWS($A$15:A18)</f>
        <v>4</v>
      </c>
      <c r="B18" s="5" t="str">
        <f aca="false">INDEX($A$8:$A$11,MATCH(A18,$G$8:$G$11,0))</f>
        <v>Orders per day up</v>
      </c>
      <c r="C18" s="38" t="n">
        <f aca="false">INDEX($D$8:$D$11,MATCH(A18,$G$8:$G$11,0))</f>
        <v>2355.86953184958</v>
      </c>
      <c r="D18" s="45" t="n">
        <f aca="false">INDEX($E$8:$E$11,MATCH(A18,$G$8:$G$11,0))</f>
        <v>0.27900866738895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2026-10-28T03:07:33Z</dcterms:created>
  <dc:creator>openpyxl</dc:creator>
  <dc:description/>
  <dc:language>en-US</dc:language>
  <cp:lastModifiedBy/>
  <dcterms:modified xsi:type="dcterms:W3CDTF">2026-10-28T03:07:34Z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