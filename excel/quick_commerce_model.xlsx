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er-order P&amp;L" sheetId="2" state="visible" r:id="rId4"/>
    <sheet name="Store daily P&amp;L"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<sst xmlns="http://schemas.openxmlformats.org/spreadsheetml/2006/main" count="299" uniqueCount="189">
  <si>
    <t xml:space="preserve">Assumptions: synthetic quick-commerce dark store, calibrated to Swiggy Instamart Q2 FY27 (quarter ended 30-Sep-2026)</t>
  </si>
  <si>
    <t xml:space="preserve">The store is synthetic. Totals are anchored to the company letters; the split of those totals across cost lines is NOT disclosed and is a labelled synthetic allocation. Results are modeled scenarios, not company measurements.</t>
  </si>
  <si>
    <t xml:space="preserve">Legend:</t>
  </si>
  <si>
    <t xml:space="preserve">Blue = typed input</t>
  </si>
  <si>
    <t xml:space="preserve">Black = formula</t>
  </si>
  <si>
    <t xml:space="preserve">Green = link to another sheet</t>
  </si>
  <si>
    <t xml:space="preserve">Yellow fill = scenario lever (edit these)</t>
  </si>
  <si>
    <t xml:space="preserve">All numbers in the two P&amp;L sheets are formulas that point to this sheet. To test a scenario change only the yellow cells in section 4.</t>
  </si>
  <si>
    <t xml:space="preserve">ID (in assumptions.csv)</t>
  </si>
  <si>
    <t xml:space="preserve">Item</t>
  </si>
  <si>
    <t xml:space="preserve">Value</t>
  </si>
  <si>
    <t xml:space="preserve">Unit</t>
  </si>
  <si>
    <t xml:space="preserve">Type</t>
  </si>
  <si>
    <t xml:space="preserve">Source / how derived</t>
  </si>
  <si>
    <t xml:space="preserve">Page</t>
  </si>
  <si>
    <t xml:space="preserve">Source URL</t>
  </si>
  <si>
    <t xml:space="preserve">1. Reported anchors (company letters; each ID matches data/assumptions.csv)</t>
  </si>
  <si>
    <t xml:space="preserve">I01</t>
  </si>
  <si>
    <t xml:space="preserve">Net order value per order (nAOV), Swiggy Instamart</t>
  </si>
  <si>
    <t xml:space="preserve">INR/order</t>
  </si>
  <si>
    <t xml:space="preserve">Reported</t>
  </si>
  <si>
    <t xml:space="preserve">Swiggy Q2 FY27 Shareholders' Letter, 22-Oct-2026</t>
  </si>
  <si>
    <t xml:space="preserve">4</t>
  </si>
  <si>
    <t xml:space="preserve">https://www.swiggy.com/corporate/wp-content/uploads/2026/10/Covering-Letter_Letter-to-Shareholders-Signed.pdf</t>
  </si>
  <si>
    <t xml:space="preserve">I11</t>
  </si>
  <si>
    <t xml:space="preserve">Orders per dark store per day</t>
  </si>
  <si>
    <t xml:space="preserve">orders/store/day</t>
  </si>
  <si>
    <t xml:space="preserve">7</t>
  </si>
  <si>
    <t xml:space="preserve">I02</t>
  </si>
  <si>
    <t xml:space="preserve">Orders in quarter</t>
  </si>
  <si>
    <t xml:space="preserve">million</t>
  </si>
  <si>
    <t xml:space="preserve">I03</t>
  </si>
  <si>
    <t xml:space="preserve">Gross order value (GOV) in quarter</t>
  </si>
  <si>
    <t xml:space="preserve">INR crore</t>
  </si>
  <si>
    <t xml:space="preserve">4, 7</t>
  </si>
  <si>
    <t xml:space="preserve">I17</t>
  </si>
  <si>
    <t xml:space="preserve">Quick-commerce Adjusted Revenue in quarter</t>
  </si>
  <si>
    <t xml:space="preserve">I07</t>
  </si>
  <si>
    <t xml:space="preserve">Contribution margin</t>
  </si>
  <si>
    <t xml:space="preserve">% of GOV</t>
  </si>
  <si>
    <t xml:space="preserve">I13</t>
  </si>
  <si>
    <t xml:space="preserve">Break-even benchmark: contribution per order needed for adjusted EBITDA break-even</t>
  </si>
  <si>
    <t xml:space="preserve">Reported (mgmt guidance)</t>
  </si>
  <si>
    <t xml:space="preserve">13</t>
  </si>
  <si>
    <t xml:space="preserve">2. Derived from the anchors (formulas)</t>
  </si>
  <si>
    <t xml:space="preserve">GOV per order</t>
  </si>
  <si>
    <t xml:space="preserve">Derived</t>
  </si>
  <si>
    <t xml:space="preserve">GOV / orders</t>
  </si>
  <si>
    <t xml:space="preserve">Adjusted revenue per order (after product cost)</t>
  </si>
  <si>
    <t xml:space="preserve">Adjusted revenue / orders</t>
  </si>
  <si>
    <t xml:space="preserve">Reported store contribution per order</t>
  </si>
  <si>
    <t xml:space="preserve">Contribution margin x GOV per order (same as I12 in CSV)</t>
  </si>
  <si>
    <t xml:space="preserve">All-in cost per order (variable + store costs, as the company defines contribution)</t>
  </si>
  <si>
    <t xml:space="preserve">Adjusted revenue per order less contribution per order</t>
  </si>
  <si>
    <t xml:space="preserve">3. Synthetic allocation (NOT disclosed by the company; judgement, adjustable)</t>
  </si>
  <si>
    <t xml:space="preserve">S1</t>
  </si>
  <si>
    <t xml:space="preserve">Share of adjusted revenue from product margin / commission</t>
  </si>
  <si>
    <t xml:space="preserve">% of adjusted revenue</t>
  </si>
  <si>
    <t xml:space="preserve">Synthetic</t>
  </si>
  <si>
    <t xml:space="preserve">Allocation of the anchored total. Company does not split it</t>
  </si>
  <si>
    <t xml:space="preserve">S2</t>
  </si>
  <si>
    <t xml:space="preserve">Share of adjusted revenue from ad income</t>
  </si>
  <si>
    <t xml:space="preserve">Same</t>
  </si>
  <si>
    <t xml:space="preserve">Share of adjusted revenue from customer fees (residual)</t>
  </si>
  <si>
    <t xml:space="preserve">Residual so the three shares sum to 100%</t>
  </si>
  <si>
    <t xml:space="preserve">S3</t>
  </si>
  <si>
    <t xml:space="preserve">Share of all-in cost: platform-funded discounts</t>
  </si>
  <si>
    <t xml:space="preserve">% of all-in cost</t>
  </si>
  <si>
    <t xml:space="preserve">Allocation of the anchored total</t>
  </si>
  <si>
    <t xml:space="preserve">S4</t>
  </si>
  <si>
    <t xml:space="preserve">Share of all-in cost: last-mile delivery</t>
  </si>
  <si>
    <t xml:space="preserve">S5</t>
  </si>
  <si>
    <t xml:space="preserve">Share of all-in cost: picking and packing</t>
  </si>
  <si>
    <t xml:space="preserve">S6</t>
  </si>
  <si>
    <t xml:space="preserve">Share of all-in cost: payment and other per-order costs</t>
  </si>
  <si>
    <t xml:space="preserve">Share of all-in cost: dark store fixed costs (residual)</t>
  </si>
  <si>
    <t xml:space="preserve">Residual: rent, fixed staff, utilities</t>
  </si>
  <si>
    <t xml:space="preserve">S7</t>
  </si>
  <si>
    <t xml:space="preserve">Days per month</t>
  </si>
  <si>
    <t xml:space="preserve">days</t>
  </si>
  <si>
    <t xml:space="preserve">Convention for the monthly column</t>
  </si>
  <si>
    <t xml:space="preserve">4. Scenario levers (0% = base case; Day 3 will flex these)</t>
  </si>
  <si>
    <t xml:space="preserve">L1</t>
  </si>
  <si>
    <t xml:space="preserve">Change in order value (NOV per order)</t>
  </si>
  <si>
    <t xml:space="preserve">% change</t>
  </si>
  <si>
    <t xml:space="preserve">Scenario lever</t>
  </si>
  <si>
    <t xml:space="preserve">Base case = 0%</t>
  </si>
  <si>
    <t xml:space="preserve">L2</t>
  </si>
  <si>
    <t xml:space="preserve">Change in orders per day</t>
  </si>
  <si>
    <t xml:space="preserve">L3</t>
  </si>
  <si>
    <t xml:space="preserve">Change in delivery cost per order</t>
  </si>
  <si>
    <t xml:space="preserve">L4</t>
  </si>
  <si>
    <t xml:space="preserve">Change in ad income per order</t>
  </si>
  <si>
    <t xml:space="preserve">5. Model inputs per order, derived (formulas)</t>
  </si>
  <si>
    <t xml:space="preserve">Product margin as % of NOV</t>
  </si>
  <si>
    <t xml:space="preserve">% of NOV</t>
  </si>
  <si>
    <t xml:space="preserve">Product margin share x adjusted revenue / base NOV</t>
  </si>
  <si>
    <t xml:space="preserve">Ad income per order (base)</t>
  </si>
  <si>
    <t xml:space="preserve">Customer fees per order</t>
  </si>
  <si>
    <t xml:space="preserve">Platform-funded discounts per order</t>
  </si>
  <si>
    <t xml:space="preserve">Delivery cost per order (base)</t>
  </si>
  <si>
    <t xml:space="preserve">Picking and packing per order</t>
  </si>
  <si>
    <t xml:space="preserve">Payment and other per-order costs as % of NOV</t>
  </si>
  <si>
    <t xml:space="preserve">Scales with order value</t>
  </si>
  <si>
    <t xml:space="preserve">Dark store fixed cost per day</t>
  </si>
  <si>
    <t xml:space="preserve">INR/day</t>
  </si>
  <si>
    <t xml:space="preserve">Fixed share x all-in cost per order x base orders per day. Stays fixed if volume changes</t>
  </si>
  <si>
    <t xml:space="preserve">6. Scenario drivers used by the model (formulas, include the levers)</t>
  </si>
  <si>
    <t xml:space="preserve">NOV per order used</t>
  </si>
  <si>
    <t xml:space="preserve">Orders per day used</t>
  </si>
  <si>
    <t xml:space="preserve">orders/day</t>
  </si>
  <si>
    <t xml:space="preserve">Delivery cost per order used</t>
  </si>
  <si>
    <t xml:space="preserve">Ad income per order used</t>
  </si>
  <si>
    <t xml:space="preserve">7. Reference only (not used in any calculation)</t>
  </si>
  <si>
    <t xml:space="preserve">B12</t>
  </si>
  <si>
    <t xml:space="preserve">Blinkit contribution per order (derived from Eternal letter)</t>
  </si>
  <si>
    <t xml:space="preserve">Reference only</t>
  </si>
  <si>
    <t xml:space="preserve">Eternal Q2FY27 Shareholders' Letter, 21-Oct-2026 (contribution 1,118 cr / 398.9m orders)</t>
  </si>
  <si>
    <t xml:space="preserve">https://www.eternal.com/blog/q2fy27/</t>
  </si>
  <si>
    <t xml:space="preserve">B01</t>
  </si>
  <si>
    <t xml:space="preserve">Blinkit net average order value</t>
  </si>
  <si>
    <t xml:space="preserve">Eternal Q2FY27 Shareholders' Letter, 21-Oct-2026</t>
  </si>
  <si>
    <t xml:space="preserve">B11</t>
  </si>
  <si>
    <t xml:space="preserve">Blinkit orders per store per day (derived: 902k NOV per store per day / 525)</t>
  </si>
  <si>
    <t xml:space="preserve">8. Model checks</t>
  </si>
  <si>
    <t xml:space="preserve">Revenue split residual is not negative</t>
  </si>
  <si>
    <t xml:space="preserve">Check</t>
  </si>
  <si>
    <t xml:space="preserve">Cost split residual is not negative</t>
  </si>
  <si>
    <t xml:space="preserve">Base case store contribution per order equals the reported derived value (only when all levers are 0)</t>
  </si>
  <si>
    <t xml:space="preserve">Store daily P&amp;L ties to per-order P&amp;L</t>
  </si>
  <si>
    <t xml:space="preserve">Per-order P&amp;L (INR per order)</t>
  </si>
  <si>
    <t xml:space="preserve">Synthetic dark store, base case calibrated to Swiggy Instamart Q2 FY27. Every number below is a formula that points to the Assumptions sheet.</t>
  </si>
  <si>
    <t xml:space="preserve">CM1 and CM2: CM1 is what an order earns after the product and the discounts, meaning net order value less product cost (the seller's or supplier's share), plus the ad income and customer fees the platform collects, less platform-funded discounts. CM2 is CM1 less the variable cost of fulfilling the order: picking, packing, last-mile delivery, and payment and other per-order costs. Dark store fixed costs (rent, fixed staff, utilities) sit below CM2 and are spread over the day's orders; CM2 less that charge is the store contribution per order, which matches the way the companies report contribution. Central costs such as technology, brand marketing and corporate overhead are excluded.</t>
  </si>
  <si>
    <t xml:space="preserve">Line</t>
  </si>
  <si>
    <t xml:space="preserve">INR per order</t>
  </si>
  <si>
    <t xml:space="preserve">How it is built</t>
  </si>
  <si>
    <t xml:space="preserve">Net order value (NOV)</t>
  </si>
  <si>
    <t xml:space="preserve">NOV per order used (base 506 x (1 + order value lever))</t>
  </si>
  <si>
    <t xml:space="preserve">Less: product cost / seller share</t>
  </si>
  <si>
    <t xml:space="preserve">NOV x (1 - product margin %)</t>
  </si>
  <si>
    <t xml:space="preserve">Product margin / commission</t>
  </si>
  <si>
    <t xml:space="preserve">NOV less product cost</t>
  </si>
  <si>
    <t xml:space="preserve">Ad income</t>
  </si>
  <si>
    <t xml:space="preserve">Customer fees (delivery, handling, platform)</t>
  </si>
  <si>
    <t xml:space="preserve">Revenue after product cost</t>
  </si>
  <si>
    <t xml:space="preserve">Matches Swiggy's Adjusted Revenue per order in the base case</t>
  </si>
  <si>
    <t xml:space="preserve">Less: platform-funded discounts</t>
  </si>
  <si>
    <t xml:space="preserve">CM1</t>
  </si>
  <si>
    <t xml:space="preserve">Revenue after product cost and discounts</t>
  </si>
  <si>
    <t xml:space="preserve">Less: picking and packing</t>
  </si>
  <si>
    <t xml:space="preserve">Less: last-mile delivery</t>
  </si>
  <si>
    <t xml:space="preserve">Less: payment and other per-order costs</t>
  </si>
  <si>
    <t xml:space="preserve">% of NOV, scales with order value</t>
  </si>
  <si>
    <t xml:space="preserve">CM2</t>
  </si>
  <si>
    <t xml:space="preserve">CM1 less picking, packing, delivery, payment</t>
  </si>
  <si>
    <t xml:space="preserve">Less: dark store fixed cost per order</t>
  </si>
  <si>
    <t xml:space="preserve">Fixed cost per day / orders per day used</t>
  </si>
  <si>
    <t xml:space="preserve">Store contribution per order</t>
  </si>
  <si>
    <t xml:space="preserve">CM2 less fixed store cost. Negative = the store loses money on each order</t>
  </si>
  <si>
    <t xml:space="preserve">Memo and checks</t>
  </si>
  <si>
    <t xml:space="preserve">Reported store contribution per order (Swiggy, derived)</t>
  </si>
  <si>
    <t xml:space="preserve">Model less reported (0 in the base case)</t>
  </si>
  <si>
    <t xml:space="preserve">Zero only while all four levers are 0%</t>
  </si>
  <si>
    <t xml:space="preserve">Break-even benchmark per order (Swiggy guidance)</t>
  </si>
  <si>
    <t xml:space="preserve">Store contribution per order less benchmark</t>
  </si>
  <si>
    <t xml:space="preserve">Negative = gap that levers must close</t>
  </si>
  <si>
    <t xml:space="preserve">Reference: Blinkit contribution per order (Q2 FY27, derived)</t>
  </si>
  <si>
    <t xml:space="preserve">Store daily P&amp;L (INR)</t>
  </si>
  <si>
    <t xml:space="preserve">One synthetic dark store. Per-day lines = orders per day x per-order line; fixed cost is charged once per day.</t>
  </si>
  <si>
    <t xml:space="preserve">Orders per day</t>
  </si>
  <si>
    <t xml:space="preserve">INR per day</t>
  </si>
  <si>
    <t xml:space="preserve">INR per month</t>
  </si>
  <si>
    <t xml:space="preserve">Orders per day x per-order line (Per-order P&amp;L row 6)</t>
  </si>
  <si>
    <t xml:space="preserve">Orders per day x per-order line (Per-order P&amp;L row 7)</t>
  </si>
  <si>
    <t xml:space="preserve">Orders per day x per-order line (Per-order P&amp;L row 8)</t>
  </si>
  <si>
    <t xml:space="preserve">Orders per day x per-order line (Per-order P&amp;L row 9)</t>
  </si>
  <si>
    <t xml:space="preserve">Orders per day x per-order line (Per-order P&amp;L row 10)</t>
  </si>
  <si>
    <t xml:space="preserve">Orders per day x per-order line (Per-order P&amp;L row 11)</t>
  </si>
  <si>
    <t xml:space="preserve">Orders per day x per-order line (Per-order P&amp;L row 12)</t>
  </si>
  <si>
    <t xml:space="preserve">Orders per day x per-order line (Per-order P&amp;L row 13)</t>
  </si>
  <si>
    <t xml:space="preserve">Orders per day x per-order line (Per-order P&amp;L row 14)</t>
  </si>
  <si>
    <t xml:space="preserve">Orders per day x per-order line (Per-order P&amp;L row 15)</t>
  </si>
  <si>
    <t xml:space="preserve">Orders per day x per-order line (Per-order P&amp;L row 16)</t>
  </si>
  <si>
    <t xml:space="preserve">Orders per day x per-order line (Per-order P&amp;L row 17)</t>
  </si>
  <si>
    <t xml:space="preserve">Less: dark store fixed cost per day</t>
  </si>
  <si>
    <t xml:space="preserve">Fixed cost per day, charged once</t>
  </si>
  <si>
    <t xml:space="preserve">Negative = the store loses money per day</t>
  </si>
  <si>
    <t xml:space="preserve">Store contribution per order (daily total / orders)</t>
  </si>
  <si>
    <t xml:space="preserve">Difference vs Per-order P&amp;L (should be 0)</t>
  </si>
</sst>
</file>

<file path=xl/styles.xml><?xml version="1.0" encoding="utf-8"?>
<styleSheet xmlns="http://schemas.openxmlformats.org/spreadsheetml/2006/main">
  <numFmts count="6">
    <numFmt numFmtId="164" formatCode="General"/>
    <numFmt numFmtId="165" formatCode="#,##0.00;\(#,##0.00\);\-"/>
    <numFmt numFmtId="166" formatCode="#,##0;\(#,##0\);\-"/>
    <numFmt numFmtId="167" formatCode="#,##0.0;\(#,##0.0\);\-"/>
    <numFmt numFmtId="168" formatCode="0.0%"/>
    <numFmt numFmtId="169" formatCode="0.0%;\(0.0%\);\-"/>
  </numFmts>
  <fonts count="14">
    <font>
      <sz val="11"/>
      <color theme="1"/>
      <name val="Calibri"/>
      <family val="2"/>
      <charset val="1"/>
    </font>
    <font>
      <sz val="10"/>
      <name val="Arial"/>
      <family val="0"/>
    </font>
    <font>
      <sz val="10"/>
      <name val="Arial"/>
      <family val="0"/>
    </font>
    <font>
      <sz val="10"/>
      <name val="Arial"/>
      <family val="0"/>
    </font>
    <font>
      <b val="true"/>
      <sz val="13"/>
      <color rgb="FF000000"/>
      <name val="Arial"/>
      <family val="0"/>
      <charset val="1"/>
    </font>
    <font>
      <i val="true"/>
      <sz val="10"/>
      <color rgb="FF000000"/>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sz val="9"/>
      <color rgb="FF000000"/>
      <name val="Arial"/>
      <family val="0"/>
      <charset val="1"/>
    </font>
    <font>
      <b val="true"/>
      <sz val="10"/>
      <color rgb="FF008000"/>
      <name val="Arial"/>
      <family val="0"/>
      <charset val="1"/>
    </font>
    <font>
      <i val="true"/>
      <sz val="9"/>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right" vertical="bottom" textRotation="0" wrapText="false" indent="0" shrinkToFit="false"/>
      <protection locked="true" hidden="false"/>
    </xf>
    <xf numFmtId="168" fontId="7"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8" fontId="8" fillId="0" borderId="0" xfId="0" applyFont="true" applyBorder="false" applyAlignment="true" applyProtection="false">
      <alignment horizontal="right" vertical="bottom" textRotation="0" wrapText="false" indent="0" shrinkToFit="false"/>
      <protection locked="true" hidden="false"/>
    </xf>
    <xf numFmtId="168" fontId="7" fillId="2" borderId="0" xfId="0" applyFont="true" applyBorder="false" applyAlignment="true" applyProtection="false">
      <alignment horizontal="right" vertical="bottom" textRotation="0" wrapText="false" indent="0" shrinkToFit="false"/>
      <protection locked="true" hidden="false"/>
    </xf>
    <xf numFmtId="166" fontId="8"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69" fontId="6" fillId="5" borderId="1"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6" fillId="5" borderId="1" xfId="0" applyFont="true" applyBorder="tru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2"/>
    <col collapsed="false" customWidth="true" hidden="false" outlineLevel="0" max="3" min="3" style="0" width="14"/>
    <col collapsed="false" customWidth="true" hidden="false" outlineLevel="0" max="5" min="4" style="0" width="22"/>
    <col collapsed="false" customWidth="true" hidden="false" outlineLevel="0" max="6" min="6" style="0" width="60"/>
    <col collapsed="false" customWidth="true" hidden="false" outlineLevel="0" max="7" min="7" style="0" width="8"/>
    <col collapsed="false" customWidth="true" hidden="false" outlineLevel="0" max="8" min="8" style="0" width="50"/>
  </cols>
  <sheetData>
    <row r="1" customFormat="false" ht="16.15" hidden="false" customHeight="false" outlineLevel="0" collapsed="false">
      <c r="A1" s="1" t="s">
        <v>0</v>
      </c>
    </row>
    <row r="2" customFormat="false" ht="30" hidden="false" customHeight="true" outlineLevel="0" collapsed="false">
      <c r="A2" s="2" t="s">
        <v>1</v>
      </c>
      <c r="B2" s="2"/>
      <c r="C2" s="2"/>
      <c r="D2" s="2"/>
      <c r="E2" s="2"/>
      <c r="F2" s="2"/>
      <c r="G2" s="2"/>
      <c r="H2" s="2"/>
    </row>
    <row r="4" customFormat="false" ht="15" hidden="false" customHeight="false" outlineLevel="0" collapsed="false">
      <c r="A4" s="3" t="s">
        <v>2</v>
      </c>
      <c r="B4" s="4" t="s">
        <v>3</v>
      </c>
      <c r="C4" s="5" t="s">
        <v>4</v>
      </c>
      <c r="D4" s="6" t="s">
        <v>5</v>
      </c>
      <c r="E4" s="7" t="s">
        <v>6</v>
      </c>
    </row>
    <row r="5" customFormat="false" ht="15" hidden="false" customHeight="false" outlineLevel="0" collapsed="false">
      <c r="A5" s="8" t="s">
        <v>7</v>
      </c>
    </row>
    <row r="7" customFormat="false" ht="30" hidden="false" customHeight="true" outlineLevel="0" collapsed="false">
      <c r="A7" s="9" t="s">
        <v>8</v>
      </c>
      <c r="B7" s="9" t="s">
        <v>9</v>
      </c>
      <c r="C7" s="9" t="s">
        <v>10</v>
      </c>
      <c r="D7" s="9" t="s">
        <v>11</v>
      </c>
      <c r="E7" s="9" t="s">
        <v>12</v>
      </c>
      <c r="F7" s="9" t="s">
        <v>13</v>
      </c>
      <c r="G7" s="9" t="s">
        <v>14</v>
      </c>
      <c r="H7" s="9" t="s">
        <v>15</v>
      </c>
    </row>
    <row r="8" customFormat="false" ht="15" hidden="false" customHeight="false" outlineLevel="0" collapsed="false">
      <c r="A8" s="10" t="s">
        <v>16</v>
      </c>
      <c r="B8" s="11"/>
      <c r="C8" s="11"/>
      <c r="D8" s="11"/>
      <c r="E8" s="11"/>
      <c r="F8" s="11"/>
      <c r="G8" s="11"/>
      <c r="H8" s="11"/>
    </row>
    <row r="9" customFormat="false" ht="15" hidden="false" customHeight="false" outlineLevel="0" collapsed="false">
      <c r="A9" s="5" t="s">
        <v>17</v>
      </c>
      <c r="B9" s="12" t="s">
        <v>18</v>
      </c>
      <c r="C9" s="13" t="n">
        <v>506</v>
      </c>
      <c r="D9" s="5" t="s">
        <v>19</v>
      </c>
      <c r="E9" s="5" t="s">
        <v>20</v>
      </c>
      <c r="F9" s="12" t="s">
        <v>21</v>
      </c>
      <c r="G9" s="5" t="s">
        <v>22</v>
      </c>
      <c r="H9" s="14" t="s">
        <v>23</v>
      </c>
    </row>
    <row r="10" customFormat="false" ht="15" hidden="false" customHeight="false" outlineLevel="0" collapsed="false">
      <c r="A10" s="5" t="s">
        <v>24</v>
      </c>
      <c r="B10" s="12" t="s">
        <v>25</v>
      </c>
      <c r="C10" s="15" t="n">
        <v>1192</v>
      </c>
      <c r="D10" s="5" t="s">
        <v>26</v>
      </c>
      <c r="E10" s="5" t="s">
        <v>20</v>
      </c>
      <c r="F10" s="12" t="s">
        <v>21</v>
      </c>
      <c r="G10" s="5" t="s">
        <v>27</v>
      </c>
      <c r="H10" s="14" t="s">
        <v>23</v>
      </c>
    </row>
    <row r="11" customFormat="false" ht="15" hidden="false" customHeight="false" outlineLevel="0" collapsed="false">
      <c r="A11" s="5" t="s">
        <v>28</v>
      </c>
      <c r="B11" s="12" t="s">
        <v>29</v>
      </c>
      <c r="C11" s="16" t="n">
        <v>130.3</v>
      </c>
      <c r="D11" s="5" t="s">
        <v>30</v>
      </c>
      <c r="E11" s="5" t="s">
        <v>20</v>
      </c>
      <c r="F11" s="12" t="s">
        <v>21</v>
      </c>
      <c r="G11" s="5" t="s">
        <v>27</v>
      </c>
      <c r="H11" s="14" t="s">
        <v>23</v>
      </c>
    </row>
    <row r="12" customFormat="false" ht="15" hidden="false" customHeight="false" outlineLevel="0" collapsed="false">
      <c r="A12" s="5" t="s">
        <v>31</v>
      </c>
      <c r="B12" s="12" t="s">
        <v>32</v>
      </c>
      <c r="C12" s="15" t="n">
        <v>9230</v>
      </c>
      <c r="D12" s="5" t="s">
        <v>33</v>
      </c>
      <c r="E12" s="5" t="s">
        <v>20</v>
      </c>
      <c r="F12" s="12" t="s">
        <v>21</v>
      </c>
      <c r="G12" s="5" t="s">
        <v>34</v>
      </c>
      <c r="H12" s="14" t="s">
        <v>23</v>
      </c>
    </row>
    <row r="13" customFormat="false" ht="15" hidden="false" customHeight="false" outlineLevel="0" collapsed="false">
      <c r="A13" s="5" t="s">
        <v>35</v>
      </c>
      <c r="B13" s="12" t="s">
        <v>36</v>
      </c>
      <c r="C13" s="15" t="n">
        <v>1307</v>
      </c>
      <c r="D13" s="5" t="s">
        <v>33</v>
      </c>
      <c r="E13" s="5" t="s">
        <v>20</v>
      </c>
      <c r="F13" s="12" t="s">
        <v>21</v>
      </c>
      <c r="G13" s="5" t="s">
        <v>27</v>
      </c>
      <c r="H13" s="14" t="s">
        <v>23</v>
      </c>
    </row>
    <row r="14" customFormat="false" ht="15" hidden="false" customHeight="false" outlineLevel="0" collapsed="false">
      <c r="A14" s="5" t="s">
        <v>37</v>
      </c>
      <c r="B14" s="12" t="s">
        <v>38</v>
      </c>
      <c r="C14" s="17" t="n">
        <v>-0.01</v>
      </c>
      <c r="D14" s="5" t="s">
        <v>39</v>
      </c>
      <c r="E14" s="5" t="s">
        <v>20</v>
      </c>
      <c r="F14" s="12" t="s">
        <v>21</v>
      </c>
      <c r="G14" s="5" t="s">
        <v>34</v>
      </c>
      <c r="H14" s="14" t="s">
        <v>23</v>
      </c>
    </row>
    <row r="15" customFormat="false" ht="23.85" hidden="false" customHeight="false" outlineLevel="0" collapsed="false">
      <c r="A15" s="5" t="s">
        <v>40</v>
      </c>
      <c r="B15" s="12" t="s">
        <v>41</v>
      </c>
      <c r="C15" s="13" t="n">
        <v>30</v>
      </c>
      <c r="D15" s="5" t="s">
        <v>19</v>
      </c>
      <c r="E15" s="5" t="s">
        <v>42</v>
      </c>
      <c r="F15" s="12" t="s">
        <v>21</v>
      </c>
      <c r="G15" s="5" t="s">
        <v>43</v>
      </c>
      <c r="H15" s="14" t="s">
        <v>23</v>
      </c>
    </row>
    <row r="16" customFormat="false" ht="15" hidden="false" customHeight="false" outlineLevel="0" collapsed="false">
      <c r="A16" s="10" t="s">
        <v>44</v>
      </c>
      <c r="B16" s="11"/>
      <c r="C16" s="11"/>
      <c r="D16" s="11"/>
      <c r="E16" s="11"/>
      <c r="F16" s="11"/>
      <c r="G16" s="11"/>
      <c r="H16" s="11"/>
    </row>
    <row r="17" customFormat="false" ht="15" hidden="false" customHeight="false" outlineLevel="0" collapsed="false">
      <c r="A17" s="5"/>
      <c r="B17" s="12" t="s">
        <v>45</v>
      </c>
      <c r="C17" s="18" t="n">
        <f aca="false">$C$12*10000000/($C$11*1000000)</f>
        <v>708.365310821182</v>
      </c>
      <c r="D17" s="5" t="s">
        <v>19</v>
      </c>
      <c r="E17" s="5" t="s">
        <v>46</v>
      </c>
      <c r="F17" s="12" t="s">
        <v>47</v>
      </c>
      <c r="G17" s="5"/>
      <c r="H17" s="14"/>
    </row>
    <row r="18" customFormat="false" ht="15" hidden="false" customHeight="false" outlineLevel="0" collapsed="false">
      <c r="A18" s="5"/>
      <c r="B18" s="12" t="s">
        <v>48</v>
      </c>
      <c r="C18" s="18" t="n">
        <f aca="false">$C$13*10000000/($C$11*1000000)</f>
        <v>100.306983883346</v>
      </c>
      <c r="D18" s="5" t="s">
        <v>19</v>
      </c>
      <c r="E18" s="5" t="s">
        <v>46</v>
      </c>
      <c r="F18" s="12" t="s">
        <v>49</v>
      </c>
      <c r="G18" s="5"/>
      <c r="H18" s="14"/>
    </row>
    <row r="19" customFormat="false" ht="15" hidden="false" customHeight="false" outlineLevel="0" collapsed="false">
      <c r="A19" s="5"/>
      <c r="B19" s="12" t="s">
        <v>50</v>
      </c>
      <c r="C19" s="18" t="n">
        <f aca="false">$C$14*$C$17</f>
        <v>-7.08365310821182</v>
      </c>
      <c r="D19" s="5" t="s">
        <v>19</v>
      </c>
      <c r="E19" s="5" t="s">
        <v>46</v>
      </c>
      <c r="F19" s="12" t="s">
        <v>51</v>
      </c>
      <c r="G19" s="5"/>
      <c r="H19" s="14"/>
    </row>
    <row r="20" customFormat="false" ht="23.85" hidden="false" customHeight="false" outlineLevel="0" collapsed="false">
      <c r="A20" s="5"/>
      <c r="B20" s="12" t="s">
        <v>52</v>
      </c>
      <c r="C20" s="18" t="n">
        <f aca="false">$C$18-$C$19</f>
        <v>107.390636991558</v>
      </c>
      <c r="D20" s="5" t="s">
        <v>19</v>
      </c>
      <c r="E20" s="5" t="s">
        <v>46</v>
      </c>
      <c r="F20" s="12" t="s">
        <v>53</v>
      </c>
      <c r="G20" s="5"/>
      <c r="H20" s="14"/>
    </row>
    <row r="21" customFormat="false" ht="15" hidden="false" customHeight="false" outlineLevel="0" collapsed="false">
      <c r="A21" s="10" t="s">
        <v>54</v>
      </c>
      <c r="B21" s="11"/>
      <c r="C21" s="11"/>
      <c r="D21" s="11"/>
      <c r="E21" s="11"/>
      <c r="F21" s="11"/>
      <c r="G21" s="11"/>
      <c r="H21" s="11"/>
    </row>
    <row r="22" customFormat="false" ht="15" hidden="false" customHeight="false" outlineLevel="0" collapsed="false">
      <c r="A22" s="5" t="s">
        <v>55</v>
      </c>
      <c r="B22" s="12" t="s">
        <v>56</v>
      </c>
      <c r="C22" s="17" t="n">
        <v>0.6</v>
      </c>
      <c r="D22" s="5" t="s">
        <v>57</v>
      </c>
      <c r="E22" s="5" t="s">
        <v>58</v>
      </c>
      <c r="F22" s="12" t="s">
        <v>59</v>
      </c>
      <c r="G22" s="5"/>
      <c r="H22" s="14"/>
    </row>
    <row r="23" customFormat="false" ht="15" hidden="false" customHeight="false" outlineLevel="0" collapsed="false">
      <c r="A23" s="5" t="s">
        <v>60</v>
      </c>
      <c r="B23" s="12" t="s">
        <v>61</v>
      </c>
      <c r="C23" s="17" t="n">
        <v>0.2</v>
      </c>
      <c r="D23" s="5" t="s">
        <v>57</v>
      </c>
      <c r="E23" s="5" t="s">
        <v>58</v>
      </c>
      <c r="F23" s="12" t="s">
        <v>62</v>
      </c>
      <c r="G23" s="5"/>
      <c r="H23" s="14"/>
    </row>
    <row r="24" customFormat="false" ht="15" hidden="false" customHeight="false" outlineLevel="0" collapsed="false">
      <c r="A24" s="5"/>
      <c r="B24" s="12" t="s">
        <v>63</v>
      </c>
      <c r="C24" s="19" t="n">
        <f aca="false">1-$C$22-$C$23</f>
        <v>0.2</v>
      </c>
      <c r="D24" s="5" t="s">
        <v>57</v>
      </c>
      <c r="E24" s="5" t="s">
        <v>46</v>
      </c>
      <c r="F24" s="12" t="s">
        <v>64</v>
      </c>
      <c r="G24" s="5"/>
      <c r="H24" s="14"/>
    </row>
    <row r="25" customFormat="false" ht="15" hidden="false" customHeight="false" outlineLevel="0" collapsed="false">
      <c r="A25" s="5" t="s">
        <v>65</v>
      </c>
      <c r="B25" s="12" t="s">
        <v>66</v>
      </c>
      <c r="C25" s="17" t="n">
        <v>0.12</v>
      </c>
      <c r="D25" s="5" t="s">
        <v>67</v>
      </c>
      <c r="E25" s="5" t="s">
        <v>58</v>
      </c>
      <c r="F25" s="12" t="s">
        <v>68</v>
      </c>
      <c r="G25" s="5"/>
      <c r="H25" s="14"/>
    </row>
    <row r="26" customFormat="false" ht="15" hidden="false" customHeight="false" outlineLevel="0" collapsed="false">
      <c r="A26" s="5" t="s">
        <v>69</v>
      </c>
      <c r="B26" s="12" t="s">
        <v>70</v>
      </c>
      <c r="C26" s="17" t="n">
        <v>0.4</v>
      </c>
      <c r="D26" s="5" t="s">
        <v>67</v>
      </c>
      <c r="E26" s="5" t="s">
        <v>58</v>
      </c>
      <c r="F26" s="12" t="s">
        <v>62</v>
      </c>
      <c r="G26" s="5"/>
      <c r="H26" s="14"/>
    </row>
    <row r="27" customFormat="false" ht="15" hidden="false" customHeight="false" outlineLevel="0" collapsed="false">
      <c r="A27" s="5" t="s">
        <v>71</v>
      </c>
      <c r="B27" s="12" t="s">
        <v>72</v>
      </c>
      <c r="C27" s="17" t="n">
        <v>0.15</v>
      </c>
      <c r="D27" s="5" t="s">
        <v>67</v>
      </c>
      <c r="E27" s="5" t="s">
        <v>58</v>
      </c>
      <c r="F27" s="12" t="s">
        <v>62</v>
      </c>
      <c r="G27" s="5"/>
      <c r="H27" s="14"/>
    </row>
    <row r="28" customFormat="false" ht="15" hidden="false" customHeight="false" outlineLevel="0" collapsed="false">
      <c r="A28" s="5" t="s">
        <v>73</v>
      </c>
      <c r="B28" s="12" t="s">
        <v>74</v>
      </c>
      <c r="C28" s="17" t="n">
        <v>0.08</v>
      </c>
      <c r="D28" s="5" t="s">
        <v>67</v>
      </c>
      <c r="E28" s="5" t="s">
        <v>58</v>
      </c>
      <c r="F28" s="12" t="s">
        <v>62</v>
      </c>
      <c r="G28" s="5"/>
      <c r="H28" s="14"/>
    </row>
    <row r="29" customFormat="false" ht="15" hidden="false" customHeight="false" outlineLevel="0" collapsed="false">
      <c r="A29" s="5"/>
      <c r="B29" s="12" t="s">
        <v>75</v>
      </c>
      <c r="C29" s="19" t="n">
        <f aca="false">1-$C$25-$C$26-$C$27-$C$28</f>
        <v>0.25</v>
      </c>
      <c r="D29" s="5" t="s">
        <v>67</v>
      </c>
      <c r="E29" s="5" t="s">
        <v>46</v>
      </c>
      <c r="F29" s="12" t="s">
        <v>76</v>
      </c>
      <c r="G29" s="5"/>
      <c r="H29" s="14"/>
    </row>
    <row r="30" customFormat="false" ht="15" hidden="false" customHeight="false" outlineLevel="0" collapsed="false">
      <c r="A30" s="5" t="s">
        <v>77</v>
      </c>
      <c r="B30" s="12" t="s">
        <v>78</v>
      </c>
      <c r="C30" s="15" t="n">
        <v>30</v>
      </c>
      <c r="D30" s="5" t="s">
        <v>79</v>
      </c>
      <c r="E30" s="5" t="s">
        <v>58</v>
      </c>
      <c r="F30" s="12" t="s">
        <v>80</v>
      </c>
      <c r="G30" s="5"/>
      <c r="H30" s="14"/>
    </row>
    <row r="31" customFormat="false" ht="15" hidden="false" customHeight="false" outlineLevel="0" collapsed="false">
      <c r="A31" s="10" t="s">
        <v>81</v>
      </c>
      <c r="B31" s="11"/>
      <c r="C31" s="11"/>
      <c r="D31" s="11"/>
      <c r="E31" s="11"/>
      <c r="F31" s="11"/>
      <c r="G31" s="11"/>
      <c r="H31" s="11"/>
    </row>
    <row r="32" customFormat="false" ht="15" hidden="false" customHeight="false" outlineLevel="0" collapsed="false">
      <c r="A32" s="5" t="s">
        <v>82</v>
      </c>
      <c r="B32" s="12" t="s">
        <v>83</v>
      </c>
      <c r="C32" s="20" t="n">
        <v>0</v>
      </c>
      <c r="D32" s="5" t="s">
        <v>84</v>
      </c>
      <c r="E32" s="5" t="s">
        <v>85</v>
      </c>
      <c r="F32" s="12" t="s">
        <v>86</v>
      </c>
      <c r="G32" s="5"/>
      <c r="H32" s="14"/>
    </row>
    <row r="33" customFormat="false" ht="15" hidden="false" customHeight="false" outlineLevel="0" collapsed="false">
      <c r="A33" s="5" t="s">
        <v>87</v>
      </c>
      <c r="B33" s="12" t="s">
        <v>88</v>
      </c>
      <c r="C33" s="20" t="n">
        <v>0</v>
      </c>
      <c r="D33" s="5" t="s">
        <v>84</v>
      </c>
      <c r="E33" s="5" t="s">
        <v>85</v>
      </c>
      <c r="F33" s="12" t="s">
        <v>86</v>
      </c>
      <c r="G33" s="5"/>
      <c r="H33" s="14"/>
    </row>
    <row r="34" customFormat="false" ht="15" hidden="false" customHeight="false" outlineLevel="0" collapsed="false">
      <c r="A34" s="5" t="s">
        <v>89</v>
      </c>
      <c r="B34" s="12" t="s">
        <v>90</v>
      </c>
      <c r="C34" s="20" t="n">
        <v>0</v>
      </c>
      <c r="D34" s="5" t="s">
        <v>84</v>
      </c>
      <c r="E34" s="5" t="s">
        <v>85</v>
      </c>
      <c r="F34" s="12" t="s">
        <v>86</v>
      </c>
      <c r="G34" s="5"/>
      <c r="H34" s="14"/>
    </row>
    <row r="35" customFormat="false" ht="15" hidden="false" customHeight="false" outlineLevel="0" collapsed="false">
      <c r="A35" s="5" t="s">
        <v>91</v>
      </c>
      <c r="B35" s="12" t="s">
        <v>92</v>
      </c>
      <c r="C35" s="20" t="n">
        <v>0</v>
      </c>
      <c r="D35" s="5" t="s">
        <v>84</v>
      </c>
      <c r="E35" s="5" t="s">
        <v>85</v>
      </c>
      <c r="F35" s="12" t="s">
        <v>86</v>
      </c>
      <c r="G35" s="5"/>
      <c r="H35" s="14"/>
    </row>
    <row r="36" customFormat="false" ht="15" hidden="false" customHeight="false" outlineLevel="0" collapsed="false">
      <c r="A36" s="10" t="s">
        <v>93</v>
      </c>
      <c r="B36" s="11"/>
      <c r="C36" s="11"/>
      <c r="D36" s="11"/>
      <c r="E36" s="11"/>
      <c r="F36" s="11"/>
      <c r="G36" s="11"/>
      <c r="H36" s="11"/>
    </row>
    <row r="37" customFormat="false" ht="15" hidden="false" customHeight="false" outlineLevel="0" collapsed="false">
      <c r="A37" s="5"/>
      <c r="B37" s="12" t="s">
        <v>94</v>
      </c>
      <c r="C37" s="19" t="n">
        <f aca="false">$C$22*$C$18/$C$9</f>
        <v>0.118941087608711</v>
      </c>
      <c r="D37" s="5" t="s">
        <v>95</v>
      </c>
      <c r="E37" s="5" t="s">
        <v>46</v>
      </c>
      <c r="F37" s="12" t="s">
        <v>96</v>
      </c>
      <c r="G37" s="5"/>
      <c r="H37" s="14"/>
    </row>
    <row r="38" customFormat="false" ht="15" hidden="false" customHeight="false" outlineLevel="0" collapsed="false">
      <c r="A38" s="5"/>
      <c r="B38" s="12" t="s">
        <v>97</v>
      </c>
      <c r="C38" s="18" t="n">
        <f aca="false">$C$23*$C$18</f>
        <v>20.0613967766692</v>
      </c>
      <c r="D38" s="5" t="s">
        <v>19</v>
      </c>
      <c r="E38" s="5" t="s">
        <v>46</v>
      </c>
      <c r="F38" s="12"/>
      <c r="G38" s="5"/>
      <c r="H38" s="14"/>
    </row>
    <row r="39" customFormat="false" ht="15" hidden="false" customHeight="false" outlineLevel="0" collapsed="false">
      <c r="A39" s="5"/>
      <c r="B39" s="12" t="s">
        <v>98</v>
      </c>
      <c r="C39" s="18" t="n">
        <f aca="false">$C$24*$C$18</f>
        <v>20.0613967766692</v>
      </c>
      <c r="D39" s="5" t="s">
        <v>19</v>
      </c>
      <c r="E39" s="5" t="s">
        <v>46</v>
      </c>
      <c r="F39" s="12"/>
      <c r="G39" s="5"/>
      <c r="H39" s="14"/>
    </row>
    <row r="40" customFormat="false" ht="15" hidden="false" customHeight="false" outlineLevel="0" collapsed="false">
      <c r="A40" s="5"/>
      <c r="B40" s="12" t="s">
        <v>99</v>
      </c>
      <c r="C40" s="18" t="n">
        <f aca="false">$C$25*$C$20</f>
        <v>12.886876438987</v>
      </c>
      <c r="D40" s="5" t="s">
        <v>19</v>
      </c>
      <c r="E40" s="5" t="s">
        <v>46</v>
      </c>
      <c r="F40" s="12"/>
      <c r="G40" s="5"/>
      <c r="H40" s="14"/>
    </row>
    <row r="41" customFormat="false" ht="15" hidden="false" customHeight="false" outlineLevel="0" collapsed="false">
      <c r="A41" s="5"/>
      <c r="B41" s="12" t="s">
        <v>100</v>
      </c>
      <c r="C41" s="18" t="n">
        <f aca="false">$C$26*$C$20</f>
        <v>42.9562547966232</v>
      </c>
      <c r="D41" s="5" t="s">
        <v>19</v>
      </c>
      <c r="E41" s="5" t="s">
        <v>46</v>
      </c>
      <c r="F41" s="12"/>
      <c r="G41" s="5"/>
      <c r="H41" s="14"/>
    </row>
    <row r="42" customFormat="false" ht="15" hidden="false" customHeight="false" outlineLevel="0" collapsed="false">
      <c r="A42" s="5"/>
      <c r="B42" s="12" t="s">
        <v>101</v>
      </c>
      <c r="C42" s="18" t="n">
        <f aca="false">$C$27*$C$20</f>
        <v>16.1085955487337</v>
      </c>
      <c r="D42" s="5" t="s">
        <v>19</v>
      </c>
      <c r="E42" s="5" t="s">
        <v>46</v>
      </c>
      <c r="F42" s="12"/>
      <c r="G42" s="5"/>
      <c r="H42" s="14"/>
    </row>
    <row r="43" customFormat="false" ht="15" hidden="false" customHeight="false" outlineLevel="0" collapsed="false">
      <c r="A43" s="5"/>
      <c r="B43" s="12" t="s">
        <v>102</v>
      </c>
      <c r="C43" s="19" t="n">
        <f aca="false">$C$28*$C$20/$C$9</f>
        <v>0.01697875683661</v>
      </c>
      <c r="D43" s="5" t="s">
        <v>95</v>
      </c>
      <c r="E43" s="5" t="s">
        <v>46</v>
      </c>
      <c r="F43" s="12" t="s">
        <v>103</v>
      </c>
      <c r="G43" s="5"/>
      <c r="H43" s="14"/>
    </row>
    <row r="44" customFormat="false" ht="23.85" hidden="false" customHeight="false" outlineLevel="0" collapsed="false">
      <c r="A44" s="5"/>
      <c r="B44" s="12" t="s">
        <v>104</v>
      </c>
      <c r="C44" s="21" t="n">
        <f aca="false">$C$29*$C$20*$C$10</f>
        <v>32002.4098234843</v>
      </c>
      <c r="D44" s="5" t="s">
        <v>105</v>
      </c>
      <c r="E44" s="5" t="s">
        <v>46</v>
      </c>
      <c r="F44" s="12" t="s">
        <v>106</v>
      </c>
      <c r="G44" s="5"/>
      <c r="H44" s="14"/>
    </row>
    <row r="45" customFormat="false" ht="15" hidden="false" customHeight="false" outlineLevel="0" collapsed="false">
      <c r="A45" s="10" t="s">
        <v>107</v>
      </c>
      <c r="B45" s="11"/>
      <c r="C45" s="11"/>
      <c r="D45" s="11"/>
      <c r="E45" s="11"/>
      <c r="F45" s="11"/>
      <c r="G45" s="11"/>
      <c r="H45" s="11"/>
    </row>
    <row r="46" customFormat="false" ht="15" hidden="false" customHeight="false" outlineLevel="0" collapsed="false">
      <c r="A46" s="5"/>
      <c r="B46" s="12" t="s">
        <v>108</v>
      </c>
      <c r="C46" s="18" t="n">
        <f aca="false">$C$9*(1+$C$32)</f>
        <v>506</v>
      </c>
      <c r="D46" s="5" t="s">
        <v>19</v>
      </c>
      <c r="E46" s="5" t="s">
        <v>46</v>
      </c>
      <c r="F46" s="12"/>
      <c r="G46" s="5"/>
      <c r="H46" s="14"/>
    </row>
    <row r="47" customFormat="false" ht="15" hidden="false" customHeight="false" outlineLevel="0" collapsed="false">
      <c r="A47" s="5"/>
      <c r="B47" s="12" t="s">
        <v>109</v>
      </c>
      <c r="C47" s="21" t="n">
        <f aca="false">$C$10*(1+$C$33)</f>
        <v>1192</v>
      </c>
      <c r="D47" s="5" t="s">
        <v>110</v>
      </c>
      <c r="E47" s="5" t="s">
        <v>46</v>
      </c>
      <c r="F47" s="12"/>
      <c r="G47" s="5"/>
      <c r="H47" s="14"/>
    </row>
    <row r="48" customFormat="false" ht="15" hidden="false" customHeight="false" outlineLevel="0" collapsed="false">
      <c r="A48" s="5"/>
      <c r="B48" s="12" t="s">
        <v>111</v>
      </c>
      <c r="C48" s="18" t="n">
        <f aca="false">$C$41*(1+$C$34)</f>
        <v>42.9562547966232</v>
      </c>
      <c r="D48" s="5" t="s">
        <v>19</v>
      </c>
      <c r="E48" s="5" t="s">
        <v>46</v>
      </c>
      <c r="F48" s="12"/>
      <c r="G48" s="5"/>
      <c r="H48" s="14"/>
    </row>
    <row r="49" customFormat="false" ht="15" hidden="false" customHeight="false" outlineLevel="0" collapsed="false">
      <c r="A49" s="5"/>
      <c r="B49" s="12" t="s">
        <v>112</v>
      </c>
      <c r="C49" s="18" t="n">
        <f aca="false">$C$38*(1+$C$35)</f>
        <v>20.0613967766692</v>
      </c>
      <c r="D49" s="5" t="s">
        <v>19</v>
      </c>
      <c r="E49" s="5" t="s">
        <v>46</v>
      </c>
      <c r="F49" s="12"/>
      <c r="G49" s="5"/>
      <c r="H49" s="14"/>
    </row>
    <row r="50" customFormat="false" ht="15" hidden="false" customHeight="false" outlineLevel="0" collapsed="false">
      <c r="A50" s="10" t="s">
        <v>113</v>
      </c>
      <c r="B50" s="11"/>
      <c r="C50" s="11"/>
      <c r="D50" s="11"/>
      <c r="E50" s="11"/>
      <c r="F50" s="11"/>
      <c r="G50" s="11"/>
      <c r="H50" s="11"/>
    </row>
    <row r="51" customFormat="false" ht="23.85" hidden="false" customHeight="false" outlineLevel="0" collapsed="false">
      <c r="A51" s="5" t="s">
        <v>114</v>
      </c>
      <c r="B51" s="12" t="s">
        <v>115</v>
      </c>
      <c r="C51" s="16" t="n">
        <v>28</v>
      </c>
      <c r="D51" s="5" t="s">
        <v>19</v>
      </c>
      <c r="E51" s="5" t="s">
        <v>116</v>
      </c>
      <c r="F51" s="12" t="s">
        <v>117</v>
      </c>
      <c r="G51" s="5" t="s">
        <v>43</v>
      </c>
      <c r="H51" s="14" t="s">
        <v>118</v>
      </c>
    </row>
    <row r="52" customFormat="false" ht="15" hidden="false" customHeight="false" outlineLevel="0" collapsed="false">
      <c r="A52" s="5" t="s">
        <v>119</v>
      </c>
      <c r="B52" s="12" t="s">
        <v>120</v>
      </c>
      <c r="C52" s="15" t="n">
        <v>525</v>
      </c>
      <c r="D52" s="5" t="s">
        <v>19</v>
      </c>
      <c r="E52" s="5" t="s">
        <v>116</v>
      </c>
      <c r="F52" s="12" t="s">
        <v>121</v>
      </c>
      <c r="G52" s="5" t="s">
        <v>43</v>
      </c>
      <c r="H52" s="14" t="s">
        <v>118</v>
      </c>
    </row>
    <row r="53" customFormat="false" ht="15" hidden="false" customHeight="false" outlineLevel="0" collapsed="false">
      <c r="A53" s="5" t="s">
        <v>122</v>
      </c>
      <c r="B53" s="12" t="s">
        <v>123</v>
      </c>
      <c r="C53" s="15" t="n">
        <v>1718</v>
      </c>
      <c r="D53" s="5" t="s">
        <v>26</v>
      </c>
      <c r="E53" s="5" t="s">
        <v>116</v>
      </c>
      <c r="F53" s="12" t="s">
        <v>121</v>
      </c>
      <c r="G53" s="5" t="s">
        <v>43</v>
      </c>
      <c r="H53" s="14" t="s">
        <v>118</v>
      </c>
    </row>
    <row r="54" customFormat="false" ht="15" hidden="false" customHeight="false" outlineLevel="0" collapsed="false">
      <c r="A54" s="10" t="s">
        <v>124</v>
      </c>
      <c r="B54" s="11"/>
      <c r="C54" s="11"/>
      <c r="D54" s="11"/>
      <c r="E54" s="11"/>
      <c r="F54" s="11"/>
      <c r="G54" s="11"/>
      <c r="H54" s="11"/>
    </row>
    <row r="55" customFormat="false" ht="15" hidden="false" customHeight="false" outlineLevel="0" collapsed="false">
      <c r="A55" s="5"/>
      <c r="B55" s="12" t="s">
        <v>125</v>
      </c>
      <c r="C55" s="22" t="str">
        <f aca="false">IF($C$24&gt;=0,"OK","CHECK")</f>
        <v>OK</v>
      </c>
      <c r="D55" s="5"/>
      <c r="E55" s="5" t="s">
        <v>126</v>
      </c>
      <c r="F55" s="12"/>
      <c r="G55" s="5"/>
      <c r="H55" s="14"/>
    </row>
    <row r="56" customFormat="false" ht="15" hidden="false" customHeight="false" outlineLevel="0" collapsed="false">
      <c r="A56" s="5"/>
      <c r="B56" s="12" t="s">
        <v>127</v>
      </c>
      <c r="C56" s="22" t="str">
        <f aca="false">IF($C$29&gt;=0,"OK","CHECK")</f>
        <v>OK</v>
      </c>
      <c r="D56" s="5"/>
      <c r="E56" s="5" t="s">
        <v>126</v>
      </c>
      <c r="F56" s="12"/>
      <c r="G56" s="5"/>
      <c r="H56" s="14"/>
    </row>
    <row r="57" customFormat="false" ht="23.85" hidden="false" customHeight="false" outlineLevel="0" collapsed="false">
      <c r="A57" s="5"/>
      <c r="B57" s="12" t="s">
        <v>128</v>
      </c>
      <c r="C57" s="22" t="str">
        <f aca="false">IF(ABS($C$32)+ABS($C$33)+ABS($C$34)+ABS($C$35)&gt;0,"Levers on: n/a",IF(ABS('Per-order P&amp;L'!$B$19-$C$19)&lt;0.000001,"OK","CHECK"))</f>
        <v>OK</v>
      </c>
      <c r="D57" s="5"/>
      <c r="E57" s="5" t="s">
        <v>126</v>
      </c>
      <c r="F57" s="12"/>
      <c r="G57" s="5"/>
      <c r="H57" s="14"/>
    </row>
    <row r="58" customFormat="false" ht="15" hidden="false" customHeight="false" outlineLevel="0" collapsed="false">
      <c r="A58" s="5"/>
      <c r="B58" s="12" t="s">
        <v>129</v>
      </c>
      <c r="C58" s="22" t="str">
        <f aca="false">IF(ABS('Store daily P&amp;L'!$B$19/'Store daily P&amp;L'!$B$4-'Per-order P&amp;L'!$B$19)&lt;0.000001,"OK","CHECK")</f>
        <v>OK</v>
      </c>
      <c r="D58" s="5"/>
      <c r="E58" s="5" t="s">
        <v>126</v>
      </c>
      <c r="F58" s="12"/>
      <c r="G58" s="5"/>
      <c r="H58" s="14"/>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12"/>
    <col collapsed="false" customWidth="true" hidden="false" outlineLevel="0" max="4" min="4" style="0" width="70"/>
  </cols>
  <sheetData>
    <row r="1" customFormat="false" ht="16.15" hidden="false" customHeight="false" outlineLevel="0" collapsed="false">
      <c r="A1" s="1" t="s">
        <v>130</v>
      </c>
    </row>
    <row r="2" customFormat="false" ht="15" hidden="false" customHeight="false" outlineLevel="0" collapsed="false">
      <c r="A2" s="8" t="s">
        <v>131</v>
      </c>
    </row>
    <row r="3" customFormat="false" ht="105" hidden="false" customHeight="true" outlineLevel="0" collapsed="false">
      <c r="A3" s="23" t="s">
        <v>132</v>
      </c>
      <c r="B3" s="23"/>
      <c r="C3" s="23"/>
      <c r="D3" s="23"/>
    </row>
    <row r="5" customFormat="false" ht="15" hidden="false" customHeight="false" outlineLevel="0" collapsed="false">
      <c r="A5" s="24" t="s">
        <v>133</v>
      </c>
      <c r="B5" s="24" t="s">
        <v>134</v>
      </c>
      <c r="C5" s="24" t="s">
        <v>95</v>
      </c>
      <c r="D5" s="24" t="s">
        <v>135</v>
      </c>
    </row>
    <row r="6" customFormat="false" ht="15" hidden="false" customHeight="false" outlineLevel="0" collapsed="false">
      <c r="A6" s="25" t="s">
        <v>136</v>
      </c>
      <c r="B6" s="26" t="n">
        <f aca="false">Assumptions!$C$46</f>
        <v>506</v>
      </c>
      <c r="C6" s="27" t="n">
        <f aca="false">IF($B$6=0,0,B6/$B$6)</f>
        <v>1</v>
      </c>
      <c r="D6" s="28" t="s">
        <v>137</v>
      </c>
    </row>
    <row r="7" customFormat="false" ht="15" hidden="false" customHeight="false" outlineLevel="0" collapsed="false">
      <c r="A7" s="5" t="s">
        <v>138</v>
      </c>
      <c r="B7" s="29" t="n">
        <f aca="false">-B6*(1-Assumptions!$C$37)</f>
        <v>-445.815809669992</v>
      </c>
      <c r="C7" s="30" t="n">
        <f aca="false">IF($B$6=0,0,B7/$B$6)</f>
        <v>-0.881058912391289</v>
      </c>
      <c r="D7" s="31" t="s">
        <v>139</v>
      </c>
    </row>
    <row r="8" customFormat="false" ht="15" hidden="false" customHeight="false" outlineLevel="0" collapsed="false">
      <c r="A8" s="5" t="s">
        <v>140</v>
      </c>
      <c r="B8" s="29" t="n">
        <f aca="false">B6+B7</f>
        <v>60.1841903300077</v>
      </c>
      <c r="C8" s="30" t="n">
        <f aca="false">IF($B$6=0,0,B8/$B$6)</f>
        <v>0.118941087608711</v>
      </c>
      <c r="D8" s="31" t="s">
        <v>141</v>
      </c>
    </row>
    <row r="9" customFormat="false" ht="15" hidden="false" customHeight="false" outlineLevel="0" collapsed="false">
      <c r="A9" s="5" t="s">
        <v>142</v>
      </c>
      <c r="B9" s="32" t="n">
        <f aca="false">Assumptions!$C$49</f>
        <v>20.0613967766692</v>
      </c>
      <c r="C9" s="30" t="n">
        <f aca="false">IF($B$6=0,0,B9/$B$6)</f>
        <v>0.0396470292029036</v>
      </c>
      <c r="D9" s="31" t="s">
        <v>112</v>
      </c>
    </row>
    <row r="10" customFormat="false" ht="15" hidden="false" customHeight="false" outlineLevel="0" collapsed="false">
      <c r="A10" s="5" t="s">
        <v>143</v>
      </c>
      <c r="B10" s="32" t="n">
        <f aca="false">Assumptions!$C$39</f>
        <v>20.0613967766692</v>
      </c>
      <c r="C10" s="30" t="n">
        <f aca="false">IF($B$6=0,0,B10/$B$6)</f>
        <v>0.0396470292029036</v>
      </c>
      <c r="D10" s="31" t="s">
        <v>98</v>
      </c>
    </row>
    <row r="11" customFormat="false" ht="15" hidden="false" customHeight="false" outlineLevel="0" collapsed="false">
      <c r="A11" s="25" t="s">
        <v>144</v>
      </c>
      <c r="B11" s="33" t="n">
        <f aca="false">B8+B9+B10</f>
        <v>100.306983883346</v>
      </c>
      <c r="C11" s="27" t="n">
        <f aca="false">IF($B$6=0,0,B11/$B$6)</f>
        <v>0.198235146014518</v>
      </c>
      <c r="D11" s="28" t="s">
        <v>145</v>
      </c>
    </row>
    <row r="12" customFormat="false" ht="15" hidden="false" customHeight="false" outlineLevel="0" collapsed="false">
      <c r="A12" s="5" t="s">
        <v>146</v>
      </c>
      <c r="B12" s="29" t="n">
        <f aca="false">-Assumptions!$C$40</f>
        <v>-12.886876438987</v>
      </c>
      <c r="C12" s="30" t="n">
        <f aca="false">IF($B$6=0,0,B12/$B$6)</f>
        <v>-0.0254681352549149</v>
      </c>
      <c r="D12" s="31"/>
    </row>
    <row r="13" customFormat="false" ht="15" hidden="false" customHeight="false" outlineLevel="0" collapsed="false">
      <c r="A13" s="25" t="s">
        <v>147</v>
      </c>
      <c r="B13" s="33" t="n">
        <f aca="false">B11+B12</f>
        <v>87.4201074443592</v>
      </c>
      <c r="C13" s="27" t="n">
        <f aca="false">IF($B$6=0,0,B13/$B$6)</f>
        <v>0.172767010759603</v>
      </c>
      <c r="D13" s="28" t="s">
        <v>148</v>
      </c>
    </row>
    <row r="14" customFormat="false" ht="15" hidden="false" customHeight="false" outlineLevel="0" collapsed="false">
      <c r="A14" s="5" t="s">
        <v>149</v>
      </c>
      <c r="B14" s="29" t="n">
        <f aca="false">-Assumptions!$C$42</f>
        <v>-16.1085955487337</v>
      </c>
      <c r="C14" s="30" t="n">
        <f aca="false">IF($B$6=0,0,B14/$B$6)</f>
        <v>-0.0318351690686437</v>
      </c>
      <c r="D14" s="31"/>
    </row>
    <row r="15" customFormat="false" ht="15" hidden="false" customHeight="false" outlineLevel="0" collapsed="false">
      <c r="A15" s="5" t="s">
        <v>150</v>
      </c>
      <c r="B15" s="29" t="n">
        <f aca="false">-Assumptions!$C$48</f>
        <v>-42.9562547966232</v>
      </c>
      <c r="C15" s="30" t="n">
        <f aca="false">IF($B$6=0,0,B15/$B$6)</f>
        <v>-0.0848937841830497</v>
      </c>
      <c r="D15" s="31" t="s">
        <v>111</v>
      </c>
    </row>
    <row r="16" customFormat="false" ht="15" hidden="false" customHeight="false" outlineLevel="0" collapsed="false">
      <c r="A16" s="5" t="s">
        <v>151</v>
      </c>
      <c r="B16" s="29" t="n">
        <f aca="false">-B6*Assumptions!$C$43</f>
        <v>-8.59125095932463</v>
      </c>
      <c r="C16" s="30" t="n">
        <f aca="false">IF($B$6=0,0,B16/$B$6)</f>
        <v>-0.01697875683661</v>
      </c>
      <c r="D16" s="31" t="s">
        <v>152</v>
      </c>
    </row>
    <row r="17" customFormat="false" ht="15" hidden="false" customHeight="false" outlineLevel="0" collapsed="false">
      <c r="A17" s="25" t="s">
        <v>153</v>
      </c>
      <c r="B17" s="33" t="n">
        <f aca="false">B13+B14+B15+B16</f>
        <v>19.7640061396777</v>
      </c>
      <c r="C17" s="27" t="n">
        <f aca="false">IF($B$6=0,0,B17/$B$6)</f>
        <v>0.0390593006712997</v>
      </c>
      <c r="D17" s="28" t="s">
        <v>154</v>
      </c>
    </row>
    <row r="18" customFormat="false" ht="15" hidden="false" customHeight="false" outlineLevel="0" collapsed="false">
      <c r="A18" s="5" t="s">
        <v>155</v>
      </c>
      <c r="B18" s="29" t="n">
        <f aca="false">IF(Assumptions!$C$47=0,0,-Assumptions!$C$44/Assumptions!$C$47)</f>
        <v>-26.8476592478895</v>
      </c>
      <c r="C18" s="30" t="n">
        <f aca="false">IF($B$6=0,0,B18/$B$6)</f>
        <v>-0.0530586151144061</v>
      </c>
      <c r="D18" s="31" t="s">
        <v>156</v>
      </c>
    </row>
    <row r="19" customFormat="false" ht="15" hidden="false" customHeight="false" outlineLevel="0" collapsed="false">
      <c r="A19" s="25" t="s">
        <v>157</v>
      </c>
      <c r="B19" s="33" t="n">
        <f aca="false">B17+B18</f>
        <v>-7.08365310821181</v>
      </c>
      <c r="C19" s="27" t="n">
        <f aca="false">IF($B$6=0,0,B19/$B$6)</f>
        <v>-0.0139993144431063</v>
      </c>
      <c r="D19" s="28" t="s">
        <v>158</v>
      </c>
    </row>
    <row r="21" customFormat="false" ht="15" hidden="false" customHeight="false" outlineLevel="0" collapsed="false">
      <c r="A21" s="3" t="s">
        <v>159</v>
      </c>
    </row>
    <row r="22" customFormat="false" ht="15" hidden="false" customHeight="false" outlineLevel="0" collapsed="false">
      <c r="A22" s="5" t="s">
        <v>160</v>
      </c>
      <c r="B22" s="32" t="n">
        <f aca="false">Assumptions!$C$19</f>
        <v>-7.08365310821182</v>
      </c>
    </row>
    <row r="23" customFormat="false" ht="15" hidden="false" customHeight="false" outlineLevel="0" collapsed="false">
      <c r="A23" s="5" t="s">
        <v>161</v>
      </c>
      <c r="B23" s="29" t="n">
        <f aca="false">B19-B22</f>
        <v>0</v>
      </c>
      <c r="D23" s="31" t="s">
        <v>162</v>
      </c>
    </row>
    <row r="24" customFormat="false" ht="15" hidden="false" customHeight="false" outlineLevel="0" collapsed="false">
      <c r="A24" s="5" t="s">
        <v>163</v>
      </c>
      <c r="B24" s="32" t="n">
        <f aca="false">Assumptions!$C$15</f>
        <v>30</v>
      </c>
    </row>
    <row r="25" customFormat="false" ht="15" hidden="false" customHeight="false" outlineLevel="0" collapsed="false">
      <c r="A25" s="5" t="s">
        <v>164</v>
      </c>
      <c r="B25" s="29" t="n">
        <f aca="false">B19-B24</f>
        <v>-37.0836531082118</v>
      </c>
      <c r="D25" s="31" t="s">
        <v>165</v>
      </c>
    </row>
    <row r="26" customFormat="false" ht="15" hidden="false" customHeight="false" outlineLevel="0" collapsed="false">
      <c r="A26" s="5" t="s">
        <v>166</v>
      </c>
      <c r="B26" s="32" t="n">
        <f aca="false">Assumptions!$C$51</f>
        <v>28</v>
      </c>
    </row>
  </sheetData>
  <mergeCells count="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6"/>
    <col collapsed="false" customWidth="true" hidden="false" outlineLevel="0" max="4" min="4" style="0" width="62"/>
  </cols>
  <sheetData>
    <row r="1" customFormat="false" ht="16.15" hidden="false" customHeight="false" outlineLevel="0" collapsed="false">
      <c r="A1" s="1" t="s">
        <v>167</v>
      </c>
    </row>
    <row r="2" customFormat="false" ht="15" hidden="false" customHeight="false" outlineLevel="0" collapsed="false">
      <c r="A2" s="8" t="s">
        <v>168</v>
      </c>
    </row>
    <row r="4" customFormat="false" ht="15" hidden="false" customHeight="false" outlineLevel="0" collapsed="false">
      <c r="A4" s="3" t="s">
        <v>169</v>
      </c>
      <c r="B4" s="34" t="n">
        <f aca="false">Assumptions!$C$47</f>
        <v>1192</v>
      </c>
      <c r="C4" s="35" t="n">
        <f aca="false">B4*Assumptions!$C$30</f>
        <v>35760</v>
      </c>
    </row>
    <row r="5" customFormat="false" ht="15" hidden="false" customHeight="false" outlineLevel="0" collapsed="false">
      <c r="A5" s="24" t="s">
        <v>133</v>
      </c>
      <c r="B5" s="24" t="s">
        <v>170</v>
      </c>
      <c r="C5" s="24" t="s">
        <v>171</v>
      </c>
      <c r="D5" s="24" t="s">
        <v>135</v>
      </c>
    </row>
    <row r="6" customFormat="false" ht="15" hidden="false" customHeight="false" outlineLevel="0" collapsed="false">
      <c r="A6" s="25" t="s">
        <v>136</v>
      </c>
      <c r="B6" s="36" t="n">
        <f aca="false">$B$4*'Per-order P&amp;L'!B6</f>
        <v>603152</v>
      </c>
      <c r="C6" s="36" t="n">
        <f aca="false">B6*Assumptions!$C$30</f>
        <v>18094560</v>
      </c>
      <c r="D6" s="28" t="s">
        <v>172</v>
      </c>
    </row>
    <row r="7" customFormat="false" ht="15" hidden="false" customHeight="false" outlineLevel="0" collapsed="false">
      <c r="A7" s="5" t="s">
        <v>138</v>
      </c>
      <c r="B7" s="37" t="n">
        <f aca="false">$B$4*'Per-order P&amp;L'!B7</f>
        <v>-531412.445126631</v>
      </c>
      <c r="C7" s="37" t="n">
        <f aca="false">B7*Assumptions!$C$30</f>
        <v>-15942373.3537989</v>
      </c>
      <c r="D7" s="31" t="s">
        <v>173</v>
      </c>
    </row>
    <row r="8" customFormat="false" ht="15" hidden="false" customHeight="false" outlineLevel="0" collapsed="false">
      <c r="A8" s="5" t="s">
        <v>140</v>
      </c>
      <c r="B8" s="37" t="n">
        <f aca="false">$B$4*'Per-order P&amp;L'!B8</f>
        <v>71739.5548733691</v>
      </c>
      <c r="C8" s="37" t="n">
        <f aca="false">B8*Assumptions!$C$30</f>
        <v>2152186.64620107</v>
      </c>
      <c r="D8" s="31" t="s">
        <v>174</v>
      </c>
    </row>
    <row r="9" customFormat="false" ht="15" hidden="false" customHeight="false" outlineLevel="0" collapsed="false">
      <c r="A9" s="5" t="s">
        <v>142</v>
      </c>
      <c r="B9" s="37" t="n">
        <f aca="false">$B$4*'Per-order P&amp;L'!B9</f>
        <v>23913.1849577897</v>
      </c>
      <c r="C9" s="37" t="n">
        <f aca="false">B9*Assumptions!$C$30</f>
        <v>717395.548733692</v>
      </c>
      <c r="D9" s="31" t="s">
        <v>175</v>
      </c>
    </row>
    <row r="10" customFormat="false" ht="15" hidden="false" customHeight="false" outlineLevel="0" collapsed="false">
      <c r="A10" s="5" t="s">
        <v>143</v>
      </c>
      <c r="B10" s="37" t="n">
        <f aca="false">$B$4*'Per-order P&amp;L'!B10</f>
        <v>23913.1849577897</v>
      </c>
      <c r="C10" s="37" t="n">
        <f aca="false">B10*Assumptions!$C$30</f>
        <v>717395.548733692</v>
      </c>
      <c r="D10" s="31" t="s">
        <v>176</v>
      </c>
    </row>
    <row r="11" customFormat="false" ht="15" hidden="false" customHeight="false" outlineLevel="0" collapsed="false">
      <c r="A11" s="25" t="s">
        <v>144</v>
      </c>
      <c r="B11" s="36" t="n">
        <f aca="false">$B$4*'Per-order P&amp;L'!B11</f>
        <v>119565.924788949</v>
      </c>
      <c r="C11" s="36" t="n">
        <f aca="false">B11*Assumptions!$C$30</f>
        <v>3586977.74366846</v>
      </c>
      <c r="D11" s="28" t="s">
        <v>177</v>
      </c>
    </row>
    <row r="12" customFormat="false" ht="15" hidden="false" customHeight="false" outlineLevel="0" collapsed="false">
      <c r="A12" s="5" t="s">
        <v>146</v>
      </c>
      <c r="B12" s="37" t="n">
        <f aca="false">$B$4*'Per-order P&amp;L'!B12</f>
        <v>-15361.1567152724</v>
      </c>
      <c r="C12" s="37" t="n">
        <f aca="false">B12*Assumptions!$C$30</f>
        <v>-460834.701458173</v>
      </c>
      <c r="D12" s="31" t="s">
        <v>178</v>
      </c>
    </row>
    <row r="13" customFormat="false" ht="15" hidden="false" customHeight="false" outlineLevel="0" collapsed="false">
      <c r="A13" s="25" t="s">
        <v>147</v>
      </c>
      <c r="B13" s="36" t="n">
        <f aca="false">$B$4*'Per-order P&amp;L'!B13</f>
        <v>104204.768073676</v>
      </c>
      <c r="C13" s="36" t="n">
        <f aca="false">B13*Assumptions!$C$30</f>
        <v>3126143.04221028</v>
      </c>
      <c r="D13" s="28" t="s">
        <v>179</v>
      </c>
    </row>
    <row r="14" customFormat="false" ht="15" hidden="false" customHeight="false" outlineLevel="0" collapsed="false">
      <c r="A14" s="5" t="s">
        <v>149</v>
      </c>
      <c r="B14" s="37" t="n">
        <f aca="false">$B$4*'Per-order P&amp;L'!B14</f>
        <v>-19201.4458940906</v>
      </c>
      <c r="C14" s="37" t="n">
        <f aca="false">B14*Assumptions!$C$30</f>
        <v>-576043.376822717</v>
      </c>
      <c r="D14" s="31" t="s">
        <v>180</v>
      </c>
    </row>
    <row r="15" customFormat="false" ht="15" hidden="false" customHeight="false" outlineLevel="0" collapsed="false">
      <c r="A15" s="5" t="s">
        <v>150</v>
      </c>
      <c r="B15" s="37" t="n">
        <f aca="false">$B$4*'Per-order P&amp;L'!B15</f>
        <v>-51203.8557175748</v>
      </c>
      <c r="C15" s="37" t="n">
        <f aca="false">B15*Assumptions!$C$30</f>
        <v>-1536115.67152724</v>
      </c>
      <c r="D15" s="31" t="s">
        <v>181</v>
      </c>
    </row>
    <row r="16" customFormat="false" ht="15" hidden="false" customHeight="false" outlineLevel="0" collapsed="false">
      <c r="A16" s="5" t="s">
        <v>151</v>
      </c>
      <c r="B16" s="37" t="n">
        <f aca="false">$B$4*'Per-order P&amp;L'!B16</f>
        <v>-10240.771143515</v>
      </c>
      <c r="C16" s="37" t="n">
        <f aca="false">B16*Assumptions!$C$30</f>
        <v>-307223.134305449</v>
      </c>
      <c r="D16" s="31" t="s">
        <v>182</v>
      </c>
    </row>
    <row r="17" customFormat="false" ht="15" hidden="false" customHeight="false" outlineLevel="0" collapsed="false">
      <c r="A17" s="25" t="s">
        <v>153</v>
      </c>
      <c r="B17" s="36" t="n">
        <f aca="false">$B$4*'Per-order P&amp;L'!B17</f>
        <v>23558.6953184958</v>
      </c>
      <c r="C17" s="36" t="n">
        <f aca="false">B17*Assumptions!$C$30</f>
        <v>706760.859554873</v>
      </c>
      <c r="D17" s="28" t="s">
        <v>183</v>
      </c>
    </row>
    <row r="18" customFormat="false" ht="15" hidden="false" customHeight="false" outlineLevel="0" collapsed="false">
      <c r="A18" s="5" t="s">
        <v>184</v>
      </c>
      <c r="B18" s="37" t="n">
        <f aca="false">-Assumptions!$C$44</f>
        <v>-32002.4098234843</v>
      </c>
      <c r="C18" s="37" t="n">
        <f aca="false">B18*Assumptions!$C$30</f>
        <v>-960072.294704528</v>
      </c>
      <c r="D18" s="31" t="s">
        <v>185</v>
      </c>
    </row>
    <row r="19" customFormat="false" ht="15" hidden="false" customHeight="false" outlineLevel="0" collapsed="false">
      <c r="A19" s="25" t="s">
        <v>157</v>
      </c>
      <c r="B19" s="36" t="n">
        <f aca="false">$B$4*'Per-order P&amp;L'!B19</f>
        <v>-8443.71450498847</v>
      </c>
      <c r="C19" s="36" t="n">
        <f aca="false">B19*Assumptions!$C$30</f>
        <v>-253311.435149654</v>
      </c>
      <c r="D19" s="28" t="s">
        <v>186</v>
      </c>
    </row>
    <row r="21" customFormat="false" ht="15" hidden="false" customHeight="false" outlineLevel="0" collapsed="false">
      <c r="A21" s="3" t="s">
        <v>159</v>
      </c>
    </row>
    <row r="22" customFormat="false" ht="15" hidden="false" customHeight="false" outlineLevel="0" collapsed="false">
      <c r="A22" s="5" t="s">
        <v>187</v>
      </c>
      <c r="B22" s="29" t="n">
        <f aca="false">IF(B4=0,0,B19/B4)</f>
        <v>-7.08365310821181</v>
      </c>
    </row>
    <row r="23" customFormat="false" ht="15" hidden="false" customHeight="false" outlineLevel="0" collapsed="false">
      <c r="A23" s="5" t="s">
        <v>188</v>
      </c>
      <c r="B23" s="29" t="n">
        <f aca="false">B22-'Per-order P&amp;L'!B19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2026-10-28T02:48:18Z</dcterms:created>
  <dc:creator>openpyxl</dc:creator>
  <dc:description/>
  <dc:language>en-US</dc:language>
  <cp:lastModifiedBy/>
  <dcterms:modified xsi:type="dcterms:W3CDTF">2026-10-28T02:48:18Z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